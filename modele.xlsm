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laatek\Desktop\Bureau en cours\projet dapth\3\"/>
    </mc:Choice>
  </mc:AlternateContent>
  <xr:revisionPtr revIDLastSave="0" documentId="13_ncr:1_{19791591-EC54-456F-9484-A62ACCD7C17D}" xr6:coauthVersionLast="47" xr6:coauthVersionMax="47" xr10:uidLastSave="{00000000-0000-0000-0000-000000000000}"/>
  <bookViews>
    <workbookView xWindow="-110" yWindow="-110" windowWidth="19420" windowHeight="11500" tabRatio="870" firstSheet="1" activeTab="1" xr2:uid="{00000000-000D-0000-FFFF-FFFF00000000}"/>
  </bookViews>
  <sheets>
    <sheet name="Data" sheetId="55" state="hidden" r:id="rId1"/>
    <sheet name="Page de garde" sheetId="52" r:id="rId2"/>
    <sheet name="Page 2" sheetId="53" r:id="rId3"/>
    <sheet name="Commentaires" sheetId="54" r:id="rId4"/>
    <sheet name="Art.2 Cheminements extérieurs" sheetId="37" r:id="rId5"/>
    <sheet name="Art.3. Plans inclinés" sheetId="4" r:id="rId6"/>
    <sheet name="Art.4. Stationnement automobile" sheetId="5" r:id="rId7"/>
    <sheet name="Art.5. Accès" sheetId="6" r:id="rId8"/>
    <sheet name="Art.6. L’accueil du public" sheetId="7" r:id="rId9"/>
    <sheet name="Art.7.Circulations int.horiz" sheetId="39" r:id="rId10"/>
    <sheet name="Art.8.Circulations int.vert." sheetId="9" r:id="rId11"/>
    <sheet name="Art.9.Escaliers" sheetId="10" r:id="rId12"/>
    <sheet name="Art.10.Ascenseurs et app.élév." sheetId="11" r:id="rId13"/>
    <sheet name="Art.11.Tapis roulants,..." sheetId="42" r:id="rId14"/>
    <sheet name="Art.12. Revêtements des sols, " sheetId="41" r:id="rId15"/>
    <sheet name="Art.13.Portes, portiques et sas" sheetId="15" r:id="rId16"/>
    <sheet name="Art.14.Espace manoeuvre porte" sheetId="16" r:id="rId17"/>
    <sheet name="Art.15.Locaux ouverts au public" sheetId="17" r:id="rId18"/>
    <sheet name="Art.16.Locaux WC" sheetId="18" r:id="rId19"/>
    <sheet name="Art.17.Sorties" sheetId="19" r:id="rId20"/>
    <sheet name="Art.18.Eclairage" sheetId="20" r:id="rId21"/>
    <sheet name="Art.19.Besoins d'espace libres" sheetId="57" r:id="rId22"/>
    <sheet name="Art.20.Information et Signal" sheetId="22" r:id="rId23"/>
    <sheet name="Art.21.Contrastes visuels" sheetId="23" r:id="rId24"/>
    <sheet name="Art.22.Syst.guidage tactile" sheetId="24" r:id="rId25"/>
    <sheet name="Art.23. Sécurité et évacuation" sheetId="25" r:id="rId26"/>
    <sheet name="Art.24.Etabliss.public assis" sheetId="26" r:id="rId27"/>
    <sheet name="Art.25.Salles polyvalentes" sheetId="43" r:id="rId28"/>
    <sheet name="Art.26.Etabl.héberg.ouverts pub" sheetId="44" r:id="rId29"/>
    <sheet name="Art.27.Douches et cabines" sheetId="45" r:id="rId30"/>
    <sheet name="Art.28. Accès bassin piscine" sheetId="46" r:id="rId31"/>
    <sheet name="Art.29.Caisses de paiement" sheetId="47" r:id="rId32"/>
    <sheet name="Art.30.Chemin.voie pub." sheetId="48" r:id="rId33"/>
    <sheet name="Art.31.Passages et gués" sheetId="49" r:id="rId34"/>
    <sheet name="Art.32.Quais autobus tramways" sheetId="50" r:id="rId35"/>
    <sheet name="Art.33.Bandes de stationnement " sheetId="51" r:id="rId36"/>
  </sheets>
  <definedNames>
    <definedName name="_Ref458503285" localSheetId="12">'Art.10.Ascenseurs et app.élév.'!#REF!</definedName>
    <definedName name="_Ref458503285" localSheetId="15">'Art.13.Portes, portiques et sas'!#REF!</definedName>
    <definedName name="_Ref458503285" localSheetId="16">'Art.14.Espace manoeuvre porte'!#REF!</definedName>
    <definedName name="_Ref458503285" localSheetId="17">'Art.15.Locaux ouverts au public'!#REF!</definedName>
    <definedName name="_Ref458503285" localSheetId="18">'Art.16.Locaux WC'!#REF!</definedName>
    <definedName name="_Ref458503285" localSheetId="19">'Art.17.Sorties'!#REF!</definedName>
    <definedName name="_Ref458503285" localSheetId="20">'Art.18.Eclairage'!#REF!</definedName>
    <definedName name="_Ref458503285" localSheetId="21">'Art.19.Besoins d''espace libres'!#REF!</definedName>
    <definedName name="_Ref458503285" localSheetId="4">'Art.2 Cheminements extérieurs'!#REF!</definedName>
    <definedName name="_Ref458503285" localSheetId="22">'Art.20.Information et Signal'!#REF!</definedName>
    <definedName name="_Ref458503285" localSheetId="23">'Art.21.Contrastes visuels'!#REF!</definedName>
    <definedName name="_Ref458503285" localSheetId="24">'Art.22.Syst.guidage tactile'!#REF!</definedName>
    <definedName name="_Ref458503285" localSheetId="25">'Art.23. Sécurité et évacuation'!#REF!</definedName>
    <definedName name="_Ref458503285" localSheetId="26">'Art.24.Etabliss.public assis'!#REF!</definedName>
    <definedName name="_Ref458503285" localSheetId="27">'Art.25.Salles polyvalentes'!#REF!</definedName>
    <definedName name="_Ref458503285" localSheetId="28">'Art.26.Etabl.héberg.ouverts pub'!#REF!</definedName>
    <definedName name="_Ref458503285" localSheetId="29">'Art.27.Douches et cabines'!#REF!</definedName>
    <definedName name="_Ref458503285" localSheetId="30">'Art.28. Accès bassin piscine'!#REF!</definedName>
    <definedName name="_Ref458503285" localSheetId="31">'Art.29.Caisses de paiement'!#REF!</definedName>
    <definedName name="_Ref458503285" localSheetId="5">'Art.3. Plans inclinés'!#REF!</definedName>
    <definedName name="_Ref458503285" localSheetId="32">'Art.30.Chemin.voie pub.'!#REF!</definedName>
    <definedName name="_Ref458503285" localSheetId="33">'Art.31.Passages et gués'!#REF!</definedName>
    <definedName name="_Ref458503285" localSheetId="34">'Art.32.Quais autobus tramways'!#REF!</definedName>
    <definedName name="_Ref458503285" localSheetId="35">'Art.33.Bandes de stationnement '!#REF!</definedName>
    <definedName name="_Ref458503285" localSheetId="6">'Art.4. Stationnement automobile'!#REF!</definedName>
    <definedName name="_Ref458503285" localSheetId="7">'Art.5. Accès'!#REF!</definedName>
    <definedName name="_Ref458503285" localSheetId="8">'Art.6. L’accueil du public'!#REF!</definedName>
    <definedName name="_Ref458503285" localSheetId="9">'Art.7.Circulations int.horiz'!#REF!</definedName>
    <definedName name="_Ref458503285" localSheetId="10">'Art.8.Circulations int.vert.'!#REF!</definedName>
    <definedName name="_Ref458503285" localSheetId="11">'Art.9.Escaliers'!#REF!</definedName>
    <definedName name="_xlnm.Print_Area" localSheetId="12">'Art.10.Ascenseurs et app.élév.'!$A$1:$F$34</definedName>
    <definedName name="_xlnm.Print_Area" localSheetId="13">'Art.11.Tapis roulants,...'!$A$1:$F$13</definedName>
    <definedName name="_xlnm.Print_Area" localSheetId="14">'Art.12. Revêtements des sols, '!$A$1:$F$15</definedName>
    <definedName name="_xlnm.Print_Area" localSheetId="15">'Art.13.Portes, portiques et sas'!$A$1:$F$27</definedName>
    <definedName name="_xlnm.Print_Area" localSheetId="17">'Art.15.Locaux ouverts au public'!$A$1:$F$17</definedName>
    <definedName name="_xlnm.Print_Area" localSheetId="18">'Art.16.Locaux WC'!$A$1:$F$45</definedName>
    <definedName name="_xlnm.Print_Area" localSheetId="19">'Art.17.Sorties'!$A$1:$F$5</definedName>
    <definedName name="_xlnm.Print_Area" localSheetId="20">'Art.18.Eclairage'!$A$1:$F$8</definedName>
    <definedName name="_xlnm.Print_Area" localSheetId="21">'Art.19.Besoins d''espace libres'!$A$1:$F$3</definedName>
    <definedName name="_xlnm.Print_Area" localSheetId="4">'Art.2 Cheminements extérieurs'!$A$1:$F$32</definedName>
    <definedName name="_xlnm.Print_Area" localSheetId="22">'Art.20.Information et Signal'!$A$1:$F$31</definedName>
    <definedName name="_xlnm.Print_Area" localSheetId="23">'Art.21.Contrastes visuels'!$A$1:$F$14</definedName>
    <definedName name="_xlnm.Print_Area" localSheetId="24">'Art.22.Syst.guidage tactile'!$A$1:$F$39</definedName>
    <definedName name="_xlnm.Print_Area" localSheetId="25">'Art.23. Sécurité et évacuation'!$A$1:$F$9</definedName>
    <definedName name="_xlnm.Print_Area" localSheetId="26">'Art.24.Etabliss.public assis'!$A$1:$F$13</definedName>
    <definedName name="_xlnm.Print_Area" localSheetId="27">'Art.25.Salles polyvalentes'!$A$1:$F$5</definedName>
    <definedName name="_xlnm.Print_Area" localSheetId="28">'Art.26.Etabl.héberg.ouverts pub'!$A$1:$F$37</definedName>
    <definedName name="_xlnm.Print_Area" localSheetId="29">'Art.27.Douches et cabines'!$A$1:$F$17</definedName>
    <definedName name="_xlnm.Print_Area" localSheetId="30">'Art.28. Accès bassin piscine'!$A$1:$F$5</definedName>
    <definedName name="_xlnm.Print_Area" localSheetId="31">'Art.29.Caisses de paiement'!$A$1:$F$10</definedName>
    <definedName name="_xlnm.Print_Area" localSheetId="5">'Art.3. Plans inclinés'!$A$1:$F$25</definedName>
    <definedName name="_xlnm.Print_Area" localSheetId="32">'Art.30.Chemin.voie pub.'!$A$1:$F$32</definedName>
    <definedName name="_xlnm.Print_Area" localSheetId="33">'Art.31.Passages et gués'!$A$1:$F$82</definedName>
    <definedName name="_xlnm.Print_Area" localSheetId="34">'Art.32.Quais autobus tramways'!$A$1:$F$25</definedName>
    <definedName name="_xlnm.Print_Area" localSheetId="35">'Art.33.Bandes de stationnement '!$A$1:$F$15</definedName>
    <definedName name="_xlnm.Print_Area" localSheetId="6">'Art.4. Stationnement automobile'!$A$1:$F$25</definedName>
    <definedName name="_xlnm.Print_Area" localSheetId="7">'Art.5. Accès'!$A$1:$F$17</definedName>
    <definedName name="_xlnm.Print_Area" localSheetId="8">'Art.6. L’accueil du public'!$A$1:$F$14</definedName>
    <definedName name="_xlnm.Print_Area" localSheetId="9">'Art.7.Circulations int.horiz'!$A$1:$F$34</definedName>
    <definedName name="_xlnm.Print_Area" localSheetId="10">'Art.8.Circulations int.vert.'!$A$1:$F$11</definedName>
    <definedName name="_xlnm.Print_Area" localSheetId="11">'Art.9.Escaliers'!$A$1:$F$25</definedName>
    <definedName name="_xlnm.Print_Area" localSheetId="2">'Page 2'!$A$1:$B$38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37" i="52" l="1"/>
  <c r="A37" i="52"/>
  <c r="I36" i="52"/>
  <c r="F36" i="52"/>
</calcChain>
</file>

<file path=xl/sharedStrings.xml><?xml version="1.0" encoding="utf-8"?>
<sst xmlns="http://schemas.openxmlformats.org/spreadsheetml/2006/main" count="1280" uniqueCount="759">
  <si>
    <t>Libre d'obstacles</t>
  </si>
  <si>
    <t>Bordure de 10 cm des 2 côtés</t>
  </si>
  <si>
    <t>Palier de repos</t>
  </si>
  <si>
    <t xml:space="preserve">Main courante </t>
  </si>
  <si>
    <t>Au moins 1 place adaptée par bloc entamé de 20 places</t>
  </si>
  <si>
    <t>Au-delà de 100 places, 1 place adaptée supplémentaire par bloc de 100 places</t>
  </si>
  <si>
    <t>Marquage au sol conforme</t>
  </si>
  <si>
    <t>Signalisation verticale conforme</t>
  </si>
  <si>
    <t>S'il existe un contrôle d'accès</t>
  </si>
  <si>
    <t>libre de tout obstacle</t>
  </si>
  <si>
    <t>Dispositif de demande de secours</t>
  </si>
  <si>
    <t>Système d'ajustement du temps d'ouverture des portes</t>
  </si>
  <si>
    <t>Tranche de la porte en dehors du cheminement quand ouverte</t>
  </si>
  <si>
    <t>Cuvette de WC</t>
  </si>
  <si>
    <t>Lavabo</t>
  </si>
  <si>
    <t>Espace de transfert</t>
  </si>
  <si>
    <t>Visibilité</t>
  </si>
  <si>
    <t>Textes en caractères majuscules et minuscules</t>
  </si>
  <si>
    <t>Eclairage convenable</t>
  </si>
  <si>
    <t>Compréhension</t>
  </si>
  <si>
    <t>largeur de 30 cm</t>
  </si>
  <si>
    <t>Changements de direction</t>
  </si>
  <si>
    <t>Début et la fin d'une ligne de guidage</t>
  </si>
  <si>
    <t>carré de 90 cm x 90 cm réalisé avec des dalles à plots</t>
  </si>
  <si>
    <t>plan incliné de pente supérieure à 6 %</t>
  </si>
  <si>
    <t>obstacle dangereux au sol</t>
  </si>
  <si>
    <t>profondes de 90 cm / sur toute la largeur de l'obstacle</t>
  </si>
  <si>
    <t>devant une porte à ouverture automatique</t>
  </si>
  <si>
    <t>devant une porte tournante du côté de l'ouverture de la porte</t>
  </si>
  <si>
    <t>à une distance de 30 cm du débattement de la porte</t>
  </si>
  <si>
    <t>profondeur de 60 cm</t>
  </si>
  <si>
    <t>la largeur de la porte.</t>
  </si>
  <si>
    <t>Ligne de guidage indique la présence d'un ascenseur</t>
  </si>
  <si>
    <t>dirigée vers le bouton d'appel.</t>
  </si>
  <si>
    <t>En cas d'installation d'un système d'alarme</t>
  </si>
  <si>
    <t>dispositif acoustique et visuel relié au système</t>
  </si>
  <si>
    <t>Places accessibles aux utilisateurs de fauteuil roulant</t>
  </si>
  <si>
    <t>Nombre</t>
  </si>
  <si>
    <t>au moins 1 par bloc de 20 jusqu'à 100 places</t>
  </si>
  <si>
    <t>une place supplémentaire par tranche ou fraction de 100 places</t>
  </si>
  <si>
    <t>90 cm de large</t>
  </si>
  <si>
    <t>120 cm de long</t>
  </si>
  <si>
    <t>un siège pour l'accompagnateur à proximité</t>
  </si>
  <si>
    <t>places adaptées réparties en fonction des différentes catégories</t>
  </si>
  <si>
    <t>Dévers nul</t>
  </si>
  <si>
    <t>Pente entre 3% et 6% (si P&lt;3% alors pas plan incliné)</t>
  </si>
  <si>
    <t>Profondeur ≥ 500 cm</t>
  </si>
  <si>
    <t>Nez de marches non glissants</t>
  </si>
  <si>
    <t>Nez de marches non saillants</t>
  </si>
  <si>
    <t>Porte de cabine sur le petit côté de la cabine</t>
  </si>
  <si>
    <t>Porte battante : Accès frontal</t>
  </si>
  <si>
    <t>Porte battante : Accès latéral</t>
  </si>
  <si>
    <t>Porte coulissante : accès frontal</t>
  </si>
  <si>
    <t>Porte coulissante : accès latéral</t>
  </si>
  <si>
    <t>bifurcation :  avec carré centré par rapport à la LG qui le sépare</t>
  </si>
  <si>
    <t>Bandes d'éveil à la vigilance constituées de dalles à plots signalent la présence</t>
  </si>
  <si>
    <t>A proximité de l'entrée/hall d'accueil ou ascenseur et reliées par un cheminement accessible</t>
  </si>
  <si>
    <t>S'il y a un dispositif de déverrouillage électrique alors temps adapté pour passage</t>
  </si>
  <si>
    <t>Au moins un automate est accessible et répond aux exigences relatives aux dispositifs de commande définies à l’article 15.</t>
  </si>
  <si>
    <t>champ de dalles à stries posées dans le sens de la circulation piétonne</t>
  </si>
  <si>
    <t>libre de tout obstacle sur 60 cm à gauche et à droite depuis bords</t>
  </si>
  <si>
    <t>indique la dir. du changement</t>
  </si>
  <si>
    <t>escalier (seul. en haut sauf LG)</t>
  </si>
  <si>
    <t>avec un espacement orthogonal de 3 cm à 5 cm</t>
  </si>
  <si>
    <t xml:space="preserve">A l’extérieur, largeur des stries: 0,5 cm à 1,5 cm, espacées de 2,5 cm à 3,5 cm. </t>
  </si>
  <si>
    <t>ii</t>
  </si>
  <si>
    <t>b</t>
  </si>
  <si>
    <t>iii</t>
  </si>
  <si>
    <t>c</t>
  </si>
  <si>
    <t>i</t>
  </si>
  <si>
    <t>d</t>
  </si>
  <si>
    <t>(4)</t>
  </si>
  <si>
    <t>(3)</t>
  </si>
  <si>
    <t>(2)</t>
  </si>
  <si>
    <t>a</t>
  </si>
  <si>
    <t>e</t>
  </si>
  <si>
    <t>2°</t>
  </si>
  <si>
    <t>(1)</t>
  </si>
  <si>
    <t>g</t>
  </si>
  <si>
    <t>1°</t>
  </si>
  <si>
    <t>3°</t>
  </si>
  <si>
    <t>9°</t>
  </si>
  <si>
    <t>4°</t>
  </si>
  <si>
    <t>5°</t>
  </si>
  <si>
    <t>iv</t>
  </si>
  <si>
    <t>vi</t>
  </si>
  <si>
    <t>vii</t>
  </si>
  <si>
    <t>viii</t>
  </si>
  <si>
    <t xml:space="preserve">1° </t>
  </si>
  <si>
    <t xml:space="preserve">2° </t>
  </si>
  <si>
    <t xml:space="preserve">3° </t>
  </si>
  <si>
    <t>6°</t>
  </si>
  <si>
    <t>7°</t>
  </si>
  <si>
    <t>(5)</t>
  </si>
  <si>
    <t>(6)</t>
  </si>
  <si>
    <t>(7)</t>
  </si>
  <si>
    <t>h</t>
  </si>
  <si>
    <t>Au moins un support d'information répond aux exigences:</t>
  </si>
  <si>
    <t>v</t>
  </si>
  <si>
    <t>f</t>
  </si>
  <si>
    <t>l’emplacement des places adaptées est indiqué au niveau de l’accès au site.</t>
  </si>
  <si>
    <t>&lt; 300 cm large: ligne centrée</t>
  </si>
  <si>
    <t>&gt; 300 cm large: 2 lignes dist. lat. 60 cm</t>
  </si>
  <si>
    <t>plots : H de 0,4 à 0,5 cm / indiquent une attention particulière</t>
  </si>
  <si>
    <t>2°a</t>
  </si>
  <si>
    <t>Sécurité d’usage  - Signalisation</t>
  </si>
  <si>
    <t xml:space="preserve">Atteinte et usage </t>
  </si>
  <si>
    <t xml:space="preserve">Repérage et guidage </t>
  </si>
  <si>
    <t xml:space="preserve">Sécurité d’usage </t>
  </si>
  <si>
    <t>Espaces de manœuvre de porte et d’usage pour fauteuil roulant</t>
  </si>
  <si>
    <t>Caractéristiques dimensionnelles</t>
  </si>
  <si>
    <t>Cheminement accessible est horizontal et sans ressaut</t>
  </si>
  <si>
    <t>Escaliers à pas d’âne sont interdits</t>
  </si>
  <si>
    <t xml:space="preserve"> </t>
  </si>
  <si>
    <t>profil en travers</t>
  </si>
  <si>
    <t>Atteinte et usage</t>
  </si>
  <si>
    <t>Portes de cabine et palières de type automatique</t>
  </si>
  <si>
    <t>Si WC long : Dossier à 55 cm de l'avant de la cuvette et pas de couvercle</t>
  </si>
  <si>
    <t>Barres d'appui</t>
  </si>
  <si>
    <t>De chaque côté de la cuvette</t>
  </si>
  <si>
    <t>Si accès d'un seul côté : la barre fixée au mur est en "L"</t>
  </si>
  <si>
    <t>Contraste visuel standard</t>
  </si>
  <si>
    <t>Contraste visuel pour les infrastructures de transport en commun</t>
  </si>
  <si>
    <t>Signalisation adaptée pour escalier non visible depuis l'entrée ou le hall du niveau principal</t>
  </si>
  <si>
    <t>Signalisation adaptée pour équipement mobile non visible depuis l'entrée ou le hall du niveau principal</t>
  </si>
  <si>
    <t>Signalisation adaptée pour escalier desservant de façon sélective différents niveaux</t>
  </si>
  <si>
    <t>Signalisation adaptée pour équipement desservant de façon sélective différents niveaux</t>
  </si>
  <si>
    <t>Signalisation adaptée pour ascenseur non visible depuis l'entrée ou le hall du niveau principal</t>
  </si>
  <si>
    <t>Postes d'accueil avec un dispositif d'éclairage (cf. Art. 18)</t>
  </si>
  <si>
    <t>Caractéristiques pour système de guidage</t>
  </si>
  <si>
    <t>indique la direction à suivre</t>
  </si>
  <si>
    <t>composée de stries parallèles à la ligne de guidage</t>
  </si>
  <si>
    <t xml:space="preserve">Ligne de guidage tactile </t>
  </si>
  <si>
    <t>en angle droit (de préférence)</t>
  </si>
  <si>
    <t>si angle supérieur à 45° : signalisation avec un carré constitué de plots de min. 90 x 90 cm</t>
  </si>
  <si>
    <t xml:space="preserve">Carré excentré sur LG: côté du carré </t>
  </si>
  <si>
    <t>Répartition des places</t>
  </si>
  <si>
    <t>Information tactile écrite (si utilisée)</t>
  </si>
  <si>
    <t>Eviter gêne visuelle</t>
  </si>
  <si>
    <t>Eviter gêne sonore</t>
  </si>
  <si>
    <t>tapis ne gêne pas la progression d'un fauteuil roulant</t>
  </si>
  <si>
    <t>tapis ne crée pas de ressaut de plus de 1 cm</t>
  </si>
  <si>
    <t>accessible par toute personne</t>
  </si>
  <si>
    <t>utilisable par toute personne</t>
  </si>
  <si>
    <t>Si  estrade, scène ou podium, ceux-ci doivent être utilisables et accessibles par toute personne.</t>
  </si>
  <si>
    <t>Système d'appel</t>
  </si>
  <si>
    <t xml:space="preserve">e </t>
  </si>
  <si>
    <t>si parois de douche, elles n'entravent pas l'accès au siège pour transfert</t>
  </si>
  <si>
    <t>Paroi de douche</t>
  </si>
  <si>
    <t>ix</t>
  </si>
  <si>
    <t>Si siège fixe: assise et accoudoirs doivent être relevables</t>
  </si>
  <si>
    <t>Accoudoirs ou barres d'appui relevables</t>
  </si>
  <si>
    <t>Espace d'usage de 90 cm x 120 cm à côté du siège</t>
  </si>
  <si>
    <t>Siège de douche</t>
  </si>
  <si>
    <t>receveur matériau antidérapant</t>
  </si>
  <si>
    <t>ni retombées ni saillies</t>
  </si>
  <si>
    <t>plain-pied et sans seuil</t>
  </si>
  <si>
    <t>Douche</t>
  </si>
  <si>
    <t>WC accessible</t>
  </si>
  <si>
    <t>3°a</t>
  </si>
  <si>
    <t>numéro en relief sur ou à côté de la porte côté poignée</t>
  </si>
  <si>
    <t>Conditions des chambres</t>
  </si>
  <si>
    <t>2 chambres pour établissement entre 21 et 50 chambres</t>
  </si>
  <si>
    <t>1 chambre pour établissement de 10 à 20 chambres</t>
  </si>
  <si>
    <t>Nombre minimal de chambres accessibles</t>
  </si>
  <si>
    <t>Pour piscine et halls de sport : Receveurs de douche de min. 150 cm x 150 m</t>
  </si>
  <si>
    <t>ouverture rideau ou porte qui s'ouvre vers l'extérieur</t>
  </si>
  <si>
    <t>barre d'appui horizontale : haut. entre 80 et 90 cm</t>
  </si>
  <si>
    <t>banquette : haut. entre 46 et 48 cm; prof. &gt; 45 cm; d'une long. &gt;60 cm</t>
  </si>
  <si>
    <t>Dispositions</t>
  </si>
  <si>
    <t>Si douches séparées par sexe : au moins une douche aménagée par sexe</t>
  </si>
  <si>
    <t>installées au même emplacement que les autres douches</t>
  </si>
  <si>
    <t>au moins une douche aménagée et accessible par cheminement praticable</t>
  </si>
  <si>
    <t>Si douches</t>
  </si>
  <si>
    <t>Si cabines séparées par sexe : au moins une cabine aménagée par sexe</t>
  </si>
  <si>
    <t>installées au même emplacement que les autres cabines</t>
  </si>
  <si>
    <t>au moins une cabine aménagée et accessible par cheminement praticable</t>
  </si>
  <si>
    <t>Si cabines de déshabillage ou d’essayage</t>
  </si>
  <si>
    <t>Aide du personnel si le transfert ne peut être réalisé de façon indépendante</t>
  </si>
  <si>
    <t>système fixe ou mobile permettant le transfert dans le bassin</t>
  </si>
  <si>
    <t>Chaque bassin dispose</t>
  </si>
  <si>
    <t>affichage lisible par tout client (y compris sourds et malentendants) pour connaitre le prix à payer</t>
  </si>
  <si>
    <t>permettent l'usage par un utilisateur en fauteuil roulant</t>
  </si>
  <si>
    <t>réparties uniformément</t>
  </si>
  <si>
    <t>1 caisse accessible par bloc entamé de 20</t>
  </si>
  <si>
    <t>Si caisses de paiement en batterie</t>
  </si>
  <si>
    <t>Dépourvu de trous ou de fentes de plus de 2 cm de large</t>
  </si>
  <si>
    <t>Non éblouissant</t>
  </si>
  <si>
    <t xml:space="preserve">Non glissant </t>
  </si>
  <si>
    <t>Sol dur</t>
  </si>
  <si>
    <t>Revêtement de sol</t>
  </si>
  <si>
    <t>dispositifs tactiles et visuellement contrastés</t>
  </si>
  <si>
    <t xml:space="preserve">Si séparation entre piétons et cyclistes: </t>
  </si>
  <si>
    <t>cheminement avec structures construites ou éléments de guidage contrastés visuellement et tactilement</t>
  </si>
  <si>
    <t xml:space="preserve">Si pas de délimitations dans zones de rencontre et zones résidentielle : </t>
  </si>
  <si>
    <t>rigoles profond. minimale de 3 cm</t>
  </si>
  <si>
    <t>bordures haut. minimale de 3 cm</t>
  </si>
  <si>
    <t>Délimitations constructives entre les parties réservées aux piétons et celles pour le trafic motorisé</t>
  </si>
  <si>
    <t>Escalier à pas d'âne est interdit</t>
  </si>
  <si>
    <t>Répond aux exigences de l'Art 9, sauf éclairage</t>
  </si>
  <si>
    <t>Volée d'escalier (escaliers Art. 9)</t>
  </si>
  <si>
    <t>réalisée de manière à prévenir les dangers de chocs</t>
  </si>
  <si>
    <t>rappel tactile au sol</t>
  </si>
  <si>
    <t>visuellement contrastée</t>
  </si>
  <si>
    <t>Si escalier dans espace de circulation et partie en dessous de 220 cm n'est pas fermée :</t>
  </si>
  <si>
    <t>Cheminement accessible</t>
  </si>
  <si>
    <t>(plans inclinés Art. 3)</t>
  </si>
  <si>
    <t>Si cheminement avec ressaut et sans chem. alternatif à qualité équivalente: ascenseur ou un appareil élévateur à plate-forme</t>
  </si>
  <si>
    <t>passage libre d’une largeur de minimum 100 cm</t>
  </si>
  <si>
    <t>sans marches</t>
  </si>
  <si>
    <t>sans ressaut</t>
  </si>
  <si>
    <t>Cheminement de la voie publique</t>
  </si>
  <si>
    <t>actif pendant toute la phase verte</t>
  </si>
  <si>
    <t>sur la face inférieure du bouton-poussoir de commande</t>
  </si>
  <si>
    <t>produit par un bouton vibrant</t>
  </si>
  <si>
    <t>par signal tactile</t>
  </si>
  <si>
    <t>repérable à une distance minimale de 450 cm</t>
  </si>
  <si>
    <t>fréquence de 1,2 Hz</t>
  </si>
  <si>
    <t>intermittent</t>
  </si>
  <si>
    <t>signal d'orientation permanent</t>
  </si>
  <si>
    <t>perceptible sur toute la longueur de la traversée</t>
  </si>
  <si>
    <t>fréquence de 4 Hz</t>
  </si>
  <si>
    <t>pendant toute la durée de la phase verte</t>
  </si>
  <si>
    <t>signal intermittent</t>
  </si>
  <si>
    <t>par signal acoustique</t>
  </si>
  <si>
    <t>fonctions acoustique et visuelle activées automatiquement ou à la demande en appuyant sur bouton vibrant.</t>
  </si>
  <si>
    <t>info visuelle reprise par signal acoustique émis par un dispositif acoustique placé entre 210 cm et 230 cm</t>
  </si>
  <si>
    <t xml:space="preserve">si présence d'éléments podotactiles au sol (cf. Art. 22) </t>
  </si>
  <si>
    <t>centrés par rapport au passage</t>
  </si>
  <si>
    <t>Règles générales pour signaux colorés lumineux pour piétons</t>
  </si>
  <si>
    <t>composée de stries parallèles à la bordure</t>
  </si>
  <si>
    <t>profonde de 60 cm</t>
  </si>
  <si>
    <t>bande de barrage toute largeur</t>
  </si>
  <si>
    <t>la traversée pour cyclistes est du côté abaissé de la bordure</t>
  </si>
  <si>
    <t>si bordure de hauteur différenciée (cf. paragraphe 1er, point 1° )</t>
  </si>
  <si>
    <t>Si traversée pour cyclistes juxtaposée à traversée piétons</t>
  </si>
  <si>
    <t>Pour différencier les passages des gués, la bande de repérage s'arrête à 60 cm à 90 cm devant la bande de direction</t>
  </si>
  <si>
    <t>Si gué pour piétons: signalés avec une bande de direction</t>
  </si>
  <si>
    <t xml:space="preserve">se situent à côté de la bande de repérage </t>
  </si>
  <si>
    <t>Si poteau pour signaux colorés lumineux</t>
  </si>
  <si>
    <t>constituée de plots</t>
  </si>
  <si>
    <t>profondeur de 60 cm</t>
  </si>
  <si>
    <t>sur toute la largeur du passage</t>
  </si>
  <si>
    <t>posée contre la bande de direction de traversée</t>
  </si>
  <si>
    <t xml:space="preserve">bande de repérage remplacée par bande d'éveil à la vigilance </t>
  </si>
  <si>
    <t>si passage dans l'axe du cheminement</t>
  </si>
  <si>
    <t>en angle droit avec le bord intérieur du trottoir</t>
  </si>
  <si>
    <t>sur toute la largeur restante du trottoir</t>
  </si>
  <si>
    <t>située au centre du passage</t>
  </si>
  <si>
    <t>large de 90 cm</t>
  </si>
  <si>
    <t>bande de repérage</t>
  </si>
  <si>
    <t>constituée de stries indiquant la direction de la traversée</t>
  </si>
  <si>
    <t>sur toute la largeur du passage contre la bordure</t>
  </si>
  <si>
    <t>bande de direction de traversée</t>
  </si>
  <si>
    <t>Passages et gués pour piétons à bordure de hauteur constante</t>
  </si>
  <si>
    <t>Si poteau pour signaux colorés lumineux : prolongation de la bande de barrage facultative à la hauteur du poteau</t>
  </si>
  <si>
    <t>prolongée  de chaque côté du passage où la bordure &lt;3 cm</t>
  </si>
  <si>
    <t>sur toute la longueur du passage abaissé</t>
  </si>
  <si>
    <t>Bande de barrage</t>
  </si>
  <si>
    <t>En absence de bordure repérable : présence d'une bande de barrage constituée d'éléments podotactiles</t>
  </si>
  <si>
    <t>à 50 cm de l'axe central</t>
  </si>
  <si>
    <t>de l'autre côté de l’axe central de la traversée</t>
  </si>
  <si>
    <t>à hauteur de la bande de repérage</t>
  </si>
  <si>
    <t>à hauteur de la bande de direction de traversée</t>
  </si>
  <si>
    <t>dans l'axe central de la traversée</t>
  </si>
  <si>
    <t>début en angle droit avec le bord intérieur du trottoir</t>
  </si>
  <si>
    <t>dans la continuité de la bande de direction de traversée</t>
  </si>
  <si>
    <t>en bordure du trottoir</t>
  </si>
  <si>
    <t>bande de direction de traversée :</t>
  </si>
  <si>
    <t>le trottoir dispose d'une bordure d'une hauteur de 3 cm à 6 cm</t>
  </si>
  <si>
    <t>d'un côté de l'axe de la traversée :</t>
  </si>
  <si>
    <t>éléments podotactiles pour avertir (voir Art 22)</t>
  </si>
  <si>
    <t>Passages et gués pour piétons à bordure de hauteur différenciée</t>
  </si>
  <si>
    <t>Abri ou banc</t>
  </si>
  <si>
    <t>Démarre à partir de la bande d'entrée de l'autobus ou du tramway</t>
  </si>
  <si>
    <t>Une ligne de guidage parcourt toute la longueur de l’arrêt</t>
  </si>
  <si>
    <t>Ligne de guidage</t>
  </si>
  <si>
    <t>Si plusieurs bandes d'entrées sont reliées entre elles avec ligne de guidage, les bandes de repérages autres que celles qui indiquent la première peuvent être omises</t>
  </si>
  <si>
    <t xml:space="preserve">largeur 90 cm </t>
  </si>
  <si>
    <t>posée contre la bande d’entrée et dans l’axe central de celle-ci</t>
  </si>
  <si>
    <t xml:space="preserve">avec stries parallèles à la bordure </t>
  </si>
  <si>
    <t xml:space="preserve">mène vers bande d’entrée </t>
  </si>
  <si>
    <t>Bande de repérage</t>
  </si>
  <si>
    <t>Elle est posée à 30 cm du bord extérieur du quai</t>
  </si>
  <si>
    <t>l. 120 cm, prof. 90 cm indique emplacement de la première porte d'entrée</t>
  </si>
  <si>
    <t>Bande d'entrée</t>
  </si>
  <si>
    <t>Quand l'emplacement de l’accès à l’autobus ou au tramway est précisément défini, des éléments podotactiles se présentent de la manière suivante:</t>
  </si>
  <si>
    <t>Quais surélevés par rapport à la chaussée</t>
  </si>
  <si>
    <t>Sur les places de parcage</t>
  </si>
  <si>
    <t>Largeur: 200 ou 250 cm, selon largeur place de parking</t>
  </si>
  <si>
    <t>Longueur: 200 ou 250 cm, selon largeur place de parking</t>
  </si>
  <si>
    <t>Signalé par un marquage au sol, sauf si disposé dans un emplacement non prévu au stationnement</t>
  </si>
  <si>
    <t>Situé à l'arrière de l'emplacement</t>
  </si>
  <si>
    <t>Espace de transfert supplémentaire</t>
  </si>
  <si>
    <t>Bandes de stationnement réservées aux personnes handicapées</t>
  </si>
  <si>
    <t>R</t>
  </si>
  <si>
    <r>
      <t>Douches aménagées</t>
    </r>
    <r>
      <rPr>
        <b/>
        <sz val="10"/>
        <color theme="1"/>
        <rFont val="PT Sans Narrow"/>
        <family val="2"/>
      </rPr>
      <t xml:space="preserve"> (cf. Art. 26, paragraphe 2, point 5°, lettre d)</t>
    </r>
  </si>
  <si>
    <r>
      <t>Les plots, en quinconce,</t>
    </r>
    <r>
      <rPr>
        <sz val="10"/>
        <color rgb="FF231F20"/>
        <rFont val="PT Sans Narrow"/>
        <family val="2"/>
      </rPr>
      <t xml:space="preserve"> ronds, diamètre de 2 cm à 3 cm et </t>
    </r>
  </si>
  <si>
    <t>#</t>
  </si>
  <si>
    <t xml:space="preserve">Double </t>
  </si>
  <si>
    <t>De chaque côté</t>
  </si>
  <si>
    <t>Hauteur supérieure de 85 cm à 90 cm</t>
  </si>
  <si>
    <t>Hauteur inférieure de 70 cm à 75 cm</t>
  </si>
  <si>
    <t>Extrémités obturées ou recourbées vers le bas ou la paroi</t>
  </si>
  <si>
    <t>Différenciée par éclairage particulier ou contraste visuel</t>
  </si>
  <si>
    <t>Marches descendantes distantes d'au moins 90 cm d'un palier de plan incliné et indication BEV</t>
  </si>
  <si>
    <t>Signalisation adaptée à l’entrée du site à proximité des parkings publics et à chaque point du cheminement accessible où choix d’itinéraire. Eléments de signalisation (cf.  Art. 20)</t>
  </si>
  <si>
    <t>Profil en long</t>
  </si>
  <si>
    <t>Au moins 150 x 150 cm</t>
  </si>
  <si>
    <t>Sur les paliers</t>
  </si>
  <si>
    <t>Forme ronde, ovale ou à coins arrondis s'inscrivant dans un cercle de 3 cm à 4,5 cm de diamètre</t>
  </si>
  <si>
    <t>Points de fixation sur partie inférieure et inscrits dans un arc maximal de 90°</t>
  </si>
  <si>
    <t>Marches descendantes</t>
  </si>
  <si>
    <t>Plan incliné</t>
  </si>
  <si>
    <t>Emplacement</t>
  </si>
  <si>
    <t>(2)1°</t>
  </si>
  <si>
    <t>(2)2°</t>
  </si>
  <si>
    <t>(2)3°</t>
  </si>
  <si>
    <t>(2)4°</t>
  </si>
  <si>
    <t>Repérage</t>
  </si>
  <si>
    <t>Largeur ≥ 350 cm (230 cm + 120 cm)</t>
  </si>
  <si>
    <t>Un espace horizontal au dévers près, inférieur ou égal à 2 %</t>
  </si>
  <si>
    <t>Revêtement est sans trous ni fentes, dur et antidérapant</t>
  </si>
  <si>
    <t>Libre de tout obstacle</t>
  </si>
  <si>
    <t>Alternative si &gt;3 emplacements: 230 cm + aire de transfert commune de 150 cm, avec marquage spécifique de l'aire de transfert</t>
  </si>
  <si>
    <t>Aire de transfert en dehors du cheminement et de la circulation</t>
  </si>
  <si>
    <t>Tout signal lié au fonctionnement du dispositif d'accès doit être sonore et visuel</t>
  </si>
  <si>
    <t>Personnel de l'établissement peuvent visualiser le conducteur</t>
  </si>
  <si>
    <t>A proximité des ascenseurs ou des sorties (de préférence)</t>
  </si>
  <si>
    <t>Au moins une entrée principale</t>
  </si>
  <si>
    <t>Nombre d'entrées à aménager</t>
  </si>
  <si>
    <t>Accessible en continuité avec cheminement extérieur accessible</t>
  </si>
  <si>
    <t>Tout dispositif visant l'accès ou à se signaler au personnel doit pouvoir être repéré, atteint et utilisé par tous. L'utilisation est simple.</t>
  </si>
  <si>
    <t>Entrées facilement repérables par des éléments architecturaux ou matériaux différents ou visuellement contrastés</t>
  </si>
  <si>
    <t>Systèmes de contrôle ou de communication à &gt;50 cm d'un angle rentrant de parois ou de tout autre obstacle</t>
  </si>
  <si>
    <t>Système d'ouverture des portes utilisable en position debout et assise</t>
  </si>
  <si>
    <t>a. i</t>
  </si>
  <si>
    <t>a.ii</t>
  </si>
  <si>
    <t>Eléments d'information relatifs à l'orientation conformes (cf. Art. 20)</t>
  </si>
  <si>
    <t>S’il existe un contrôle d’accès au lieu ouvert au public, le système permet à des personnes sourdes, malentendantes ou privées de l’usage de la parole de signaler leur présence au personnel et d’être informées de la prise en compte de leur appel.
 En l’absence d’une vision directe de ces accès par le personnel, les appareils d’interphonie sont munis d’un système permettant au personnel du lieu ouvert au public de visualiser le visiteur</t>
  </si>
  <si>
    <t xml:space="preserve">Tout signal lié au fonctionnement d’un dispositif d’accès est sonore et visuel </t>
  </si>
  <si>
    <t>Hauteur comprise entre 85 cm et 110 cm.</t>
  </si>
  <si>
    <t>Si plusieurs points d'accueil au moins un est adapté</t>
  </si>
  <si>
    <t>Aménagement du point d'accueil</t>
  </si>
  <si>
    <t>Toute information sonore pour l'utilisation est doublée par une information visuelle (cf. Art. 20)</t>
  </si>
  <si>
    <t>Repérage de l'accueil assuré par éléments architecturaux ou système de guidage tactile</t>
  </si>
  <si>
    <t>Les aménagements et équipements répondent aux dispositions suivantes:</t>
  </si>
  <si>
    <t>Pour activités de lecture, d’écriture et d’utilisation d’un clavier, la hauteur est comprise entre 80 cm et 85 cm et  présente un vide dans la partie inférieure du guichet d’au moins 60 cm de profondeur, 90 cm de largeur et 70 cm de hauteur</t>
  </si>
  <si>
    <t>Lorsque l’accueil est sonorisé, il est équipé d’un système de transmission du signal acoustique adapté + pictogramme</t>
  </si>
  <si>
    <t>Au moins un chemin accessible</t>
  </si>
  <si>
    <r>
      <t>Revêtement du cheminement accessible: contraste visuel et tactile par rapport à son environnement. Sinon: cheminement comporte sur toute sa longueur un repère tactile continu</t>
    </r>
    <r>
      <rPr>
        <b/>
        <sz val="10"/>
        <rFont val="PT Sans Narrow"/>
        <family val="2"/>
      </rPr>
      <t xml:space="preserve"> </t>
    </r>
    <r>
      <rPr>
        <sz val="10"/>
        <rFont val="PT Sans Narrow"/>
        <family val="2"/>
      </rPr>
      <t>pour canne blanche, et visuellement contrasté (cf. Art. 22)</t>
    </r>
  </si>
  <si>
    <r>
      <t>Espace de manœuvre de porte</t>
    </r>
    <r>
      <rPr>
        <b/>
        <sz val="10"/>
        <color rgb="FF231F20"/>
        <rFont val="Arial"/>
        <family val="2"/>
      </rPr>
      <t xml:space="preserve"> </t>
    </r>
    <r>
      <rPr>
        <sz val="10"/>
        <color rgb="FF231F20"/>
        <rFont val="PT Sans Narrow"/>
        <family val="2"/>
      </rPr>
      <t>(cf. Art.</t>
    </r>
    <r>
      <rPr>
        <sz val="10"/>
        <color theme="1"/>
        <rFont val="PT Sans Narrow"/>
        <family val="2"/>
      </rPr>
      <t xml:space="preserve"> 14) </t>
    </r>
    <r>
      <rPr>
        <sz val="10"/>
        <color rgb="FF231F20"/>
        <rFont val="PT Sans Narrow"/>
        <family val="2"/>
      </rPr>
      <t xml:space="preserve">à chaque porte / portillon à l’exception de ceux ouvrant uniquement sur un escalier </t>
    </r>
    <r>
      <rPr>
        <sz val="10"/>
        <color theme="1"/>
        <rFont val="PT Sans Narrow"/>
        <family val="2"/>
      </rPr>
      <t>sans espace d’attente sécurisé</t>
    </r>
  </si>
  <si>
    <r>
      <t xml:space="preserve">Espace d’usage </t>
    </r>
    <r>
      <rPr>
        <sz val="10"/>
        <color theme="1"/>
        <rFont val="PT Sans Narrow"/>
        <family val="2"/>
      </rPr>
      <t xml:space="preserve"> </t>
    </r>
    <r>
      <rPr>
        <sz val="10"/>
        <color rgb="FF231F20"/>
        <rFont val="PT Sans Narrow"/>
        <family val="2"/>
      </rPr>
      <t>devant chaque équipement ou aménagement situé le long du cheminement pour permettre l’atteinte et l’usage. Dimensions des différents espaces (cf. Art.</t>
    </r>
    <r>
      <rPr>
        <sz val="10"/>
        <color theme="1"/>
        <rFont val="PT Sans Narrow"/>
        <family val="2"/>
      </rPr>
      <t>19, point 4)</t>
    </r>
  </si>
  <si>
    <t xml:space="preserve">Obstacle en dessous de 220 cm signalé par contraste visuel et rappel tactile </t>
  </si>
  <si>
    <t>Escalier situé dans espace de circulation, partie située en dessous de 220 cm, si ouverte est visuellement contrastée, comporte un rappel tactile au sol,  réalisée de manière à prévenir les dangers de chocs.</t>
  </si>
  <si>
    <t>Généralités</t>
  </si>
  <si>
    <t>Repérables et sans danger</t>
  </si>
  <si>
    <t>Accès et sortie des locaux de manière indépendante</t>
  </si>
  <si>
    <t>Toute dénivellation est considérée comme un niveau</t>
  </si>
  <si>
    <t>Tous les niveaux sont desservis par un ascenseur ou plan incliné (art.3. et 10.)</t>
  </si>
  <si>
    <t>Tout dispositif visant à permettre ou restreindre l'accès / se signaler est facilement repérable par un contraste visuel ou une signalétique (cf. Art. 20) et n'est pas situé dans une zone sombre</t>
  </si>
  <si>
    <t>Marche profondeur P = 2h + p = 60 cm à 65 cm</t>
  </si>
  <si>
    <t>Marche hauteur max 17,6 cm (16 cm + 10% de tolérance)</t>
  </si>
  <si>
    <t>Marches identiques dans la volée d’un même escalier</t>
  </si>
  <si>
    <t>b.i</t>
  </si>
  <si>
    <t>b.ii</t>
  </si>
  <si>
    <t>b.iii</t>
  </si>
  <si>
    <t>Largeur min 120 cm (entre mains courantes) y compris sur paliers</t>
  </si>
  <si>
    <t xml:space="preserve">(2)2° </t>
  </si>
  <si>
    <t>Atteinte et usage - main courante</t>
  </si>
  <si>
    <t>De chaque côté y compris sur les paliers</t>
  </si>
  <si>
    <t>Prolongation de min. 30 cm sans empiéter de plus de 15 cm sur la zone de circulation</t>
  </si>
  <si>
    <t>b.iv</t>
  </si>
  <si>
    <t>b.v</t>
  </si>
  <si>
    <t>b.vi</t>
  </si>
  <si>
    <t>b.vii</t>
  </si>
  <si>
    <t>Rétrécissement ponctuel inévitable, largeur ≥ 100cm</t>
  </si>
  <si>
    <t>Passage libre sous obstacle ≥ 220 cm au dessus du sol</t>
  </si>
  <si>
    <t xml:space="preserve">Obstacle en saillie de ≥15 cm signalé par contraste visuel et rappel tactile </t>
  </si>
  <si>
    <t>Espace libre autour de la main courante ≥ 4 cm</t>
  </si>
  <si>
    <t>Bande contrastée d'une profondeur ≥ 4 cm sur première et dernière marche d’une volée d’escalier ou sur toutes les marches si moins de 4 marches</t>
  </si>
  <si>
    <t>Fixe ou mobile : antidérapant; haut. entre 46 et 48 cm; prof. ≥ 40 cm</t>
  </si>
  <si>
    <t>éléments suspendus à ≥ 220 cm</t>
  </si>
  <si>
    <t>profonde de ≥ 60  cm</t>
  </si>
  <si>
    <t>Arrêts surélevés de ≥ 16 cm</t>
  </si>
  <si>
    <t>si situe à ≥ 60 cm du bord extérieur du quai</t>
  </si>
  <si>
    <t>Longueur ≥ 500 cm</t>
  </si>
  <si>
    <t>Largeur ≥ 200 cm</t>
  </si>
  <si>
    <t>Sauf si largeur restante du trottoir ≥ 150 cm: alors largeur bande de stationnement = 250 cm</t>
  </si>
  <si>
    <t>Eviter la stagnation d’eau. Dévers ≤ 2%</t>
  </si>
  <si>
    <t>Parois et portes vitrées transparentes perpendiculaires au sens de marche des 
cheminements sont repérables par éléments visuels contrastés par rapport à l’environnement immédiat (cf. Art. 21). 
Eléments contrastés entre H 40 cm à 70 cm et entre H 120 cm à 160 cm. 
Parois vitrées avec socle H ≥ 30 cm: pas d'élément en partie basse. 
Bande contrastée H ≥ 8 cm pleine, espaces entre éléments pleins ≤5 cm</t>
  </si>
  <si>
    <t>Dévers ou la pente ≤ 2%</t>
  </si>
  <si>
    <t>bordure du trottoir est abaissée à haut. ≤ 0,5 cm sur une largeur de 100 cm à 120 cm</t>
  </si>
  <si>
    <t>bordure hauteur ≤3 cm</t>
  </si>
  <si>
    <t>si hauteur de la bordure pour cyclistes ≤ 3 cm</t>
  </si>
  <si>
    <t>A hauteur de l'espace de transfert: trottoir abaissé à ht ≤ 3 cm sur 100 cm de long</t>
  </si>
  <si>
    <t>Cabine ≥ 110 x 140 cm</t>
  </si>
  <si>
    <t>Passage libre de porte ≥ 90 cm</t>
  </si>
  <si>
    <t>Cabine ≥ 140 x 140 cm si portes sur deux côtés adjacents</t>
  </si>
  <si>
    <t>a.i</t>
  </si>
  <si>
    <t>Main courante sur au moins une des parois latérales</t>
  </si>
  <si>
    <t>Main courante section 3 - 4,5 cm</t>
  </si>
  <si>
    <t>Parois et portes vitrées transparentes perpendiculaires au sens de marche des cheminements sont repérables par éléments visuels contrastés par rapport à l’environnement immédiat (cf. Art. 21). 
Eléments contrastés entre H 40 cm à 70 cm et entre H 120 cm à 160 cm. 
Parois vitrées avec socle H ≥30 cm: pas d'élément en partie basse. 
Bande contrastée H ≥8 cm pleine, espaces entre éléments pleins ≤ 5 cm</t>
  </si>
  <si>
    <t>Espace libre entre la paroi et la main courante ≥ 3,5 cm</t>
  </si>
  <si>
    <t>Main courante avec extrémités recourbées</t>
  </si>
  <si>
    <t>Main courante</t>
  </si>
  <si>
    <t xml:space="preserve">a </t>
  </si>
  <si>
    <t xml:space="preserve">c </t>
  </si>
  <si>
    <t>(2)2°a</t>
  </si>
  <si>
    <t>Annonces</t>
  </si>
  <si>
    <t>Liaison téléphonique avec niveau sonore adapté aux conditions du site</t>
  </si>
  <si>
    <t xml:space="preserve">(2)3° </t>
  </si>
  <si>
    <t>Boutons de commande : diamètre ≥ 5cm (ou ≥ 2 si place insuffisante)
Boutons en relief et bien contrastés 
Distance ≥  1 cm entre boutons
Placés à  min 50 cm de tout coin ou paroi adjacente
 Information identifiable visuellement et tactilement</t>
  </si>
  <si>
    <t xml:space="preserve"> Hauteur des boutons entre 85 et 110 cm</t>
  </si>
  <si>
    <t>Boutons d’étages en ordre chronologique de bas en haut ou de gauche à droite</t>
  </si>
  <si>
    <t>Bouton de fermeture de porte permet de réduire manuellement le temps d’ouverture des portes</t>
  </si>
  <si>
    <t>Boutons de réouverture de porte et d’alarme  disposés en bas pour un agencement vertical ou sur la gauche pour un agencement horizontal.
Bouton d’alarme placé au-dessus du bouton de réouverture de porte</t>
  </si>
  <si>
    <t>Commandes en cabine et aux paliers</t>
  </si>
  <si>
    <t>Aire de manœuvre de porte de 150 x 150 cm devant, sans pente, sans dévers
Sauf à l'extérieur: pente max. de2%</t>
  </si>
  <si>
    <r>
      <t xml:space="preserve">Fond de la cabine avec miroir toute hauteur avec hauteur </t>
    </r>
    <r>
      <rPr>
        <sz val="10"/>
        <color theme="1"/>
        <rFont val="Calibri"/>
        <family val="2"/>
      </rPr>
      <t>≤</t>
    </r>
    <r>
      <rPr>
        <sz val="10"/>
        <color theme="1"/>
        <rFont val="PT Sans Narrow"/>
        <family val="2"/>
      </rPr>
      <t xml:space="preserve"> 35 cm du sol 
(sauf cabines avec diamètre ≥ 150cm ou portes opposées)</t>
    </r>
  </si>
  <si>
    <t>Signalisation adaptée (cf Art.20)</t>
  </si>
  <si>
    <t>La signalisation permet à un usager de choisir entre l’équipement mobile et un autre cheminement accessible.</t>
  </si>
  <si>
    <t>Dispositif d'éclairage (cf. Art. 18)</t>
  </si>
  <si>
    <t>Peigne et parties en mouvement (au départ et à l'arrivée) : présente contraste de couleur ou de lumière</t>
  </si>
  <si>
    <t>Indication du sens de marche</t>
  </si>
  <si>
    <t>Revêtements de sol</t>
  </si>
  <si>
    <t>Acoustique d'une pièce</t>
  </si>
  <si>
    <t>Valeurs de contraste de luminosité</t>
  </si>
  <si>
    <t>Les temps de réverbération sont optimisés</t>
  </si>
  <si>
    <t>Niveau de bruit de fond peu élevé</t>
  </si>
  <si>
    <t>Toutes les portes sur le cheminement accessible sont adaptées</t>
  </si>
  <si>
    <t>Une porte adaptée est à prévoir à proximité de portes à tambour, tourniquets ou sas cylindriques</t>
  </si>
  <si>
    <t>Sans seuil</t>
  </si>
  <si>
    <t>Passage libre ≥ 80 pour sanitaires, douches et cabines d'essayage / déshabillage non adaptées</t>
  </si>
  <si>
    <t>Passage libre ≥ 90 cm pour portiques de sécurité ou passage alternatif à proximité</t>
  </si>
  <si>
    <t>Côté poignée, sur une largeur de 50 cm, la profondeur de la niche entre la poignée et la surface de la paroi ne peut pas être supérieure à 25 cm  (sinon porte automatique)</t>
  </si>
  <si>
    <t>De couleur contrastée par rapport à la feuille de porte</t>
  </si>
  <si>
    <t>Passage libre ≥ 90 cm
Hauteur ≥  205 cm</t>
  </si>
  <si>
    <t>Sécurité d'usage</t>
  </si>
  <si>
    <r>
      <t xml:space="preserve">Porte coulissante avec tirant vertical de part et d'autre
Longueur </t>
    </r>
    <r>
      <rPr>
        <sz val="10"/>
        <color theme="1"/>
        <rFont val="PT Sans Narrow"/>
        <family val="2"/>
      </rPr>
      <t>≥ 40 cm, axé à une hauteur de 105 cm
 En position ouverte la distance entre chambranle et tirant ≥</t>
    </r>
    <r>
      <rPr>
        <sz val="11"/>
        <color theme="1"/>
        <rFont val="PT Sans Narrow"/>
        <family val="2"/>
      </rPr>
      <t xml:space="preserve"> </t>
    </r>
    <r>
      <rPr>
        <sz val="10"/>
        <color theme="1"/>
        <rFont val="PT Sans Narrow"/>
        <family val="2"/>
      </rPr>
      <t>4 cm</t>
    </r>
  </si>
  <si>
    <r>
      <t xml:space="preserve">Force d'ouverture des portes sans ferme-porte </t>
    </r>
    <r>
      <rPr>
        <sz val="10"/>
        <color theme="1"/>
        <rFont val="PT Sans Narrow"/>
        <family val="2"/>
      </rPr>
      <t>≤25 N, sinon à motoriser (sauf porte coupe-feu avec fermeture automatique asservie au système d'alarme incendie)</t>
    </r>
  </si>
  <si>
    <t>Les portes à ouverture automatique autres que coulissantes sont signalées
La durée d’ouverture est adaptée et ne peut pas se refermer sur une personne
Bande d’éveil à la vigilance devant débattement d’une porte battante automatique (cf art. 22.5°)</t>
  </si>
  <si>
    <r>
      <t xml:space="preserve">Porte entre deux zones de circulation comporte partie transparente. 
Hbas ≤ 60 cm, Hsup ≥ 160 cm, largeur </t>
    </r>
    <r>
      <rPr>
        <sz val="10"/>
        <color theme="1"/>
        <rFont val="Calibri"/>
        <family val="2"/>
      </rPr>
      <t>≥</t>
    </r>
    <r>
      <rPr>
        <sz val="10"/>
        <color theme="1"/>
        <rFont val="PT Sans Narrow"/>
        <family val="2"/>
      </rPr>
      <t xml:space="preserve"> 15 cm</t>
    </r>
  </si>
  <si>
    <t>Battant mobile des portes coupe-feu à 2 vantaux signalé, repérable et utilisable</t>
  </si>
  <si>
    <t>De forme rectangulaire</t>
  </si>
  <si>
    <t xml:space="preserve">Espaces de manœuvre de porte </t>
  </si>
  <si>
    <t>Libres de tout obstacle</t>
  </si>
  <si>
    <t>A l'intérieur sans pente, ni dévers</t>
  </si>
  <si>
    <t xml:space="preserve">(2)1° </t>
  </si>
  <si>
    <t>Profondeur = 150 cm en poussant</t>
  </si>
  <si>
    <t>Profondeur = 120 cm en plus du débattement de la porte en tirant</t>
  </si>
  <si>
    <t xml:space="preserve">Largeur = 120 cm en poussant </t>
  </si>
  <si>
    <t>Largeur = 150 cm en tirant</t>
  </si>
  <si>
    <t>Dans une pièce</t>
  </si>
  <si>
    <t>Profondeur = largeur porte + 120 cm côté poignée en tirant</t>
  </si>
  <si>
    <t>(3)1°</t>
  </si>
  <si>
    <t xml:space="preserve">(3)2° </t>
  </si>
  <si>
    <t>Profondeur = 150 cm</t>
  </si>
  <si>
    <t>Largeur = 150 cm (50 cm côté poignée, 100 cm du côté opposé)</t>
  </si>
  <si>
    <t>2°b</t>
  </si>
  <si>
    <t>Profondeur = 120 cm  pour les coulissantes ou portes en poussant</t>
  </si>
  <si>
    <t>Profondeur = 150 cm en tirant</t>
  </si>
  <si>
    <t>Largeur = 120 cm</t>
  </si>
  <si>
    <t>Battante: largeur = 150 cm (50 cm côté poignée, 100 cm côté opposé)
Coulissante: largeur = 125 cm (25 cm côté barre, 100 cm côté opposé)</t>
  </si>
  <si>
    <t>Profondeur = 145 cm (25 cm côté poignée, 120 cm côté opposé)</t>
  </si>
  <si>
    <t>Largeur = 125 cm (25 cm s côté poignée, 100 cm côté opposé)</t>
  </si>
  <si>
    <t>Profondeur = 170 cm (50 cm côté poignée et 120 cm côté opposé) en poussant</t>
  </si>
  <si>
    <t>Accéder et ressortir de manière indépendante</t>
  </si>
  <si>
    <t>Si plusieurs équipements ou éléments de mobilier ayant la même fonction, un au moins par groupe d’équipements est accessible</t>
  </si>
  <si>
    <t>Mobilier permettant de lire et écrire :
Hauteur ≥ 80 cm et ≤ 85 cm
Vide en partie inférieure: 
Profondeur ≥ 60 cm,
Largeur ≥ 90 cm
Hauteur ≥ 70 cm</t>
  </si>
  <si>
    <t>En présence d’une commande à effleurement, le système est complémenté par un dispositif actionné par un autre sens
Activation clairement signalée et perceptible par au moins 2 sens</t>
  </si>
  <si>
    <t>Un équipement au moins par groupe utilisable :
En position debout ou assise
Hauteur ≥ 85 cm et ≤ 110 cm
Distance à un coin de mur ≥ 50 cm</t>
  </si>
  <si>
    <t>Les éléments de signalisation et d’information répondent aux exigences définies à l'article 20. Lorsqu’il existe un ou plusieurs points d’affichage instantané, toute information visuelle est doublée par une information sonore ou transmise sur un autre support accessible.</t>
  </si>
  <si>
    <t>Présence d'un WC PMR à chaque niveau si des WC y sont prévus</t>
  </si>
  <si>
    <t>WC PMR installés au même emplacement que les autres WC</t>
  </si>
  <si>
    <t xml:space="preserve">WC PMR peut être uni-sexe s'il n'est pas dans un bloc réservé à un sexe </t>
  </si>
  <si>
    <t>Local</t>
  </si>
  <si>
    <t>Si un seul local PMR, la cuvette est accessible des deux côtés, oblique ou de face
Si plusieurs locaux PMR et espace insuffisant, la cuvette est accessible à gauche ou à droite en alternance</t>
  </si>
  <si>
    <t>Porte</t>
  </si>
  <si>
    <t>Passage libre ≥ 90 cm</t>
  </si>
  <si>
    <t>Porte coulissante, à encombrement réduit ou battante ouvrant vers extérieur</t>
  </si>
  <si>
    <t>Espace d'usage ≥ 90 x 120 cm</t>
  </si>
  <si>
    <t>Hauteur bord avant ≥ 80 et ≤ 85 cm</t>
  </si>
  <si>
    <t>Espace libre en dessous : hauteur ≥ 67 cm sur les premiers 30 cm, largeur ≥ 90 cm</t>
  </si>
  <si>
    <t>Miroir fixe posé à partir d'une hauteur ≤ 95 cm du sol</t>
  </si>
  <si>
    <t>Mitigeur : à levier unique  ou à commande automatique,  température de l'eau limitée à 40°</t>
  </si>
  <si>
    <t>Profondeur du lavabo ≥ 50 cm</t>
  </si>
  <si>
    <t>Pour population spécifique, adaptation des hauteurs des équipements possible.</t>
  </si>
  <si>
    <t>Hauteur d'assise lunette baissée ≥ 46 cm et ≤ 48 cm</t>
  </si>
  <si>
    <t xml:space="preserve">(3)3° </t>
  </si>
  <si>
    <t>Accès d'un seul côté :
distance mur axe cuvette ≥ 43 cm,  ≥ 110cm du côté opposé,  profondeur = longueur WC +  120 cm</t>
  </si>
  <si>
    <t>Libre de tout équipement, sauf  lavabo distant ≥ 90cm latéralement du WC</t>
  </si>
  <si>
    <t>Distance entre mur arrière et avant de la cuvette &gt; 65 cm</t>
  </si>
  <si>
    <t>Dépassent de 10-15 cm de l'avant cuvette</t>
  </si>
  <si>
    <t>Résistent à une force d’au moins 1 kN</t>
  </si>
  <si>
    <t>Porte-papier sur une barre d'appui ou fixé sur le mur adjacent à portée de main</t>
  </si>
  <si>
    <t>Autres équipements</t>
  </si>
  <si>
    <t>Support pour béquilles à côté de la cuvette et à côté du lavabo</t>
  </si>
  <si>
    <t>Crochet pour habits disposé à une hauteur ≥ 110 et ≤ 130</t>
  </si>
  <si>
    <t>Les sorties principales peuvent être aisément repérées, atteintes et utilisées par toute personne</t>
  </si>
  <si>
    <t>Signalisation de la sortie sans risque de confusion avec le repérage des issues de secours</t>
  </si>
  <si>
    <r>
      <t>Hauteur ≥</t>
    </r>
    <r>
      <rPr>
        <sz val="10"/>
        <color theme="1"/>
        <rFont val="PT Sans Narrow"/>
        <family val="2"/>
      </rPr>
      <t>75 cm et ≤ 80 cm à une distance de 35 cm de l'axe cuvette</t>
    </r>
  </si>
  <si>
    <t>Les parties du cheminement qui peuvent être source de perte d’équilibre, les dispositifs d’accès et les informations fournies par la signalétique font l’objet d’une qualité d’éclairage renforcée</t>
  </si>
  <si>
    <t xml:space="preserve"> Dans le cas d’un fonctionnement par détection de présence, la détection couvre l’ensemble de l’espace concerné, et deux zones de détection successives se chevauchent obligatoirement.</t>
  </si>
  <si>
    <t>Toute information est fournie de façon intelligible, visible et lisible pour les visiteurs.</t>
  </si>
  <si>
    <t>Les informations sont regroupées</t>
  </si>
  <si>
    <t>Contrasté par rapport environnement immédiat (cf. Art. 21)</t>
  </si>
  <si>
    <t>Vision et lecture en position debout et assis</t>
  </si>
  <si>
    <t>Orienté pour éviter tout effet d'éblouissement, reflet et contre-jour</t>
  </si>
  <si>
    <t>S’il est situé à une hauteur &lt; 160 cm, permettre de s’en approcher à moins de 100 cm</t>
  </si>
  <si>
    <t>Fortement contrastées par rapport au fond du support (cf. Art. 21)</t>
  </si>
  <si>
    <t>Lisibilité des informations</t>
  </si>
  <si>
    <t>Taille ≥ 10 mm pour distance de lecture de 40 cm et proportionnelle à la distance de lecture</t>
  </si>
  <si>
    <t>Signalisation par des icônes ou pictos (pictos normalisés dès qu'ils existent)</t>
  </si>
  <si>
    <t>Couleurs</t>
  </si>
  <si>
    <t>Les couleurs peuvent aider à améliorer la perceptibilité de la signalisation</t>
  </si>
  <si>
    <t>Les différences de teinte ou d’intensité des couleurs seules ne fournissent pas un contraste visuel adapté</t>
  </si>
  <si>
    <t>Les couleurs ne véhiculent pas d'information sauf indication de danger</t>
  </si>
  <si>
    <t>En Braille littéraire luxembourgeois</t>
  </si>
  <si>
    <t>En relief: hauteur ≥ 0,1 cm et ≤ 0,15 cm</t>
  </si>
  <si>
    <t>Relief de forme conique</t>
  </si>
  <si>
    <t>Taille des caractères en relief ≥ 1,5 cm</t>
  </si>
  <si>
    <t>Signalisation d'obstacles au sol</t>
  </si>
  <si>
    <t>Les potelets ou autres objets posés sur le sol le long du cheminement peuvent être détectés</t>
  </si>
  <si>
    <t>Se distinguent de l'environnement par couleur ou bande contrastée de 10 cm sur la partie haute</t>
  </si>
  <si>
    <t>Contraste k ≥ 30 pour k = VRL1 - VRL2</t>
  </si>
  <si>
    <t>VRL  ≥ 50 pour une des deux surfaces</t>
  </si>
  <si>
    <t>Pour faciliter l’orientation et sécuriser les cheminements, la signalisation, y inclus la signalisation tactile au sol, et l’information sont visuellement contrastées</t>
  </si>
  <si>
    <t>Contraste k ≥ 0,4 pour k = |(VRL1 - VRL2)| / (VRL1 + VRL2)</t>
  </si>
  <si>
    <t>VRL  ≥ 40 pour une des deux surfaces</t>
  </si>
  <si>
    <t>Contraste k ≥ 60 pour k = VRL1 - VRL2</t>
  </si>
  <si>
    <t>VRL  ≥ 70 pour une des deux surfaces</t>
  </si>
  <si>
    <t>Contraste visuel pour dangers et information textuelle</t>
  </si>
  <si>
    <t>Les cheminement accessibles signalés de manière adaptée s'il y en a plusieurs</t>
  </si>
  <si>
    <t>Signalisation adaptée à l’entrée du site, à proximité des parkings publics et à chaque point du cheminement accessible où choix d’itinéraire. Eléments de signalisation (cf.  Art. 20)</t>
  </si>
  <si>
    <t>Cheminement accessible horizontal et sans ressaut</t>
  </si>
  <si>
    <t>x</t>
  </si>
  <si>
    <t>Interruption autorisée à l'emplacement du panneau de commandes</t>
  </si>
  <si>
    <t>En cabine message vocal de la position er arrêt</t>
  </si>
  <si>
    <t>Sur palier, message ou signal sonore pour montée et descente et flèches de direction illuminées</t>
  </si>
  <si>
    <t>Main courante de part et d'autre et dépassent de ≥ 30 cm la partie en mouvement et accompagnent le déplacement</t>
  </si>
  <si>
    <t>Mesure constructive appropriée pour assurer l’intelligibilité de la parole. 
Si la mesure appropriée consiste en une installation technique, celle-ci est équipée d’un système de boucle magnétique</t>
  </si>
  <si>
    <r>
      <t xml:space="preserve">A l’extérieur la pente </t>
    </r>
    <r>
      <rPr>
        <sz val="10"/>
        <rFont val="Calibri"/>
        <family val="2"/>
      </rPr>
      <t>≤</t>
    </r>
    <r>
      <rPr>
        <sz val="11"/>
        <rFont val="PT Sans Narrow"/>
        <family val="2"/>
      </rPr>
      <t xml:space="preserve"> </t>
    </r>
    <r>
      <rPr>
        <sz val="10"/>
        <rFont val="PT Sans Narrow"/>
        <family val="2"/>
      </rPr>
      <t>2%</t>
    </r>
  </si>
  <si>
    <t>Repérage - Dispositifs de commande et de service</t>
  </si>
  <si>
    <t>Dans le cas de guichets d’information ou de vente manuelle, lorsque la communication est sonorisée, le dispositif de sonorisation est équipé d’un système de transmission du signal acoustique adapté aux personnes malentendantes (boucle magnétique) signalé par un pictogramme</t>
  </si>
  <si>
    <t>Siphon déporté</t>
  </si>
  <si>
    <t>Adaptation des hauteurs pour les populations spécifiques.</t>
  </si>
  <si>
    <t>Caractères déliés, sans sérif, sans ligature et pas en italique</t>
  </si>
  <si>
    <t>stries : H de 0,4 à 0,5 cm / indiquent direction</t>
  </si>
  <si>
    <t>8°</t>
  </si>
  <si>
    <t>Si point d'intérêt le long de la ligne, signalé par un carré de plots de 90 x 90 cm.</t>
  </si>
  <si>
    <t>cheminement d’accès aux places: mêmes caractéristiques que circulations intérieures</t>
  </si>
  <si>
    <t>Salle d'eau à proximité ou dans la chambre</t>
  </si>
  <si>
    <t>Porte coulissante, battante ou à encombrement réduit ouvrant vers l'extérieur</t>
  </si>
  <si>
    <t>surface receveur &gt; 1,25 m² (min. 90 cm pour chaque côté)</t>
  </si>
  <si>
    <t>pente ≤ 2%</t>
  </si>
  <si>
    <t>barre horizontale sur 1 des côtés d’au moins 70 cm de longueur, H entre 80 et 90 cm</t>
  </si>
  <si>
    <t>du même côté une barre verticale (coulisse du pommeau) d’au moins 100 cm à partir de 90 cm du sol</t>
  </si>
  <si>
    <t>Si plusieurs niveaux, s'applique à chaque niveau</t>
  </si>
  <si>
    <t>Au moins 1 prioritairement ouverte</t>
  </si>
  <si>
    <t>AGENCE CONSTRUCTION</t>
  </si>
  <si>
    <t>LUXEMBOURG</t>
  </si>
  <si>
    <t>5, rue de Turi</t>
  </si>
  <si>
    <t>L-3378 LIVANGE</t>
  </si>
  <si>
    <t>Tél. +352 40 07 52</t>
  </si>
  <si>
    <t>Affaire</t>
  </si>
  <si>
    <t>Par contrat de vérification technique n° XXXX en date du xx/xx/xxxx, la société XXXX, maître d’ouvrage de l’opération de construction suivante :</t>
  </si>
  <si>
    <r>
      <t>r</t>
    </r>
    <r>
      <rPr>
        <sz val="7"/>
        <color theme="1"/>
        <rFont val="Times New Roman"/>
        <family val="1"/>
      </rPr>
      <t xml:space="preserve"> </t>
    </r>
    <r>
      <rPr>
        <sz val="11"/>
        <color theme="1"/>
        <rFont val="Arial"/>
        <family val="2"/>
      </rPr>
      <t>Loi du 07 janvier 2022 portant sur l’accessibilité à tous les lieux ouverts au public, des voies publiques et des bâtiments d’habitation collectifs.</t>
    </r>
  </si>
  <si>
    <r>
      <t>r</t>
    </r>
    <r>
      <rPr>
        <sz val="7"/>
        <color theme="1"/>
        <rFont val="Times New Roman"/>
        <family val="1"/>
      </rPr>
      <t xml:space="preserve"> </t>
    </r>
    <r>
      <rPr>
        <sz val="11"/>
        <color theme="1"/>
        <rFont val="Arial"/>
        <family val="2"/>
      </rPr>
      <t>Règlement Grand-Ducal du 8 février 2023 relatif à l’accessibilité à tous des lieux ouverts au public et des voies publiques.</t>
    </r>
  </si>
  <si>
    <t>Documents remis au vérificateur:</t>
  </si>
  <si>
    <r>
      <t>Ø</t>
    </r>
    <r>
      <rPr>
        <sz val="7"/>
        <color theme="1"/>
        <rFont val="Times New Roman"/>
        <family val="1"/>
      </rPr>
      <t xml:space="preserve">   </t>
    </r>
    <r>
      <rPr>
        <b/>
        <sz val="11"/>
        <color theme="1"/>
        <rFont val="Arial"/>
        <family val="2"/>
      </rPr>
      <t xml:space="preserve">SO </t>
    </r>
    <r>
      <rPr>
        <sz val="11"/>
        <color theme="1"/>
        <rFont val="Arial"/>
        <family val="2"/>
      </rPr>
      <t>La disposition considérée est Sans Objet pour la présente opération</t>
    </r>
  </si>
  <si>
    <t>NR</t>
  </si>
  <si>
    <t>SO</t>
  </si>
  <si>
    <t xml:space="preserve">Dérogations obtenues:
</t>
  </si>
  <si>
    <t xml:space="preserve">Solutions d'effet équivalent:
</t>
  </si>
  <si>
    <t>Commentaires généraux</t>
  </si>
  <si>
    <r>
      <t xml:space="preserve">Certaines règles sont essentiellement d'ordre qualitatif et ne font pas l'objet de référentiel technique commun précis. Les avis </t>
    </r>
    <r>
      <rPr>
        <b/>
        <sz val="10"/>
        <color rgb="FF00B050"/>
        <rFont val="Arial"/>
        <family val="2"/>
      </rPr>
      <t>R</t>
    </r>
    <r>
      <rPr>
        <sz val="10"/>
        <color theme="1"/>
        <rFont val="Arial"/>
        <family val="2"/>
      </rPr>
      <t xml:space="preserve"> ou </t>
    </r>
    <r>
      <rPr>
        <b/>
        <sz val="10"/>
        <color rgb="FFFF0000"/>
        <rFont val="Arial"/>
        <family val="2"/>
      </rPr>
      <t>NR</t>
    </r>
    <r>
      <rPr>
        <sz val="10"/>
        <color theme="1"/>
        <rFont val="Arial"/>
        <family val="2"/>
      </rPr>
      <t xml:space="preserve"> portés à leur sujet par le vérificateur sont donc à considérer comme présomption de respect ou de non-respect, établies selon sa propre appréciation des dispositions constatées et ne préjugent pas d'interprétations contraires</t>
    </r>
  </si>
  <si>
    <t>A l’issue de sa vérification, réalisée selon les termes et conditions du contrat précité, le vérificateur récapitule sur la liste ci-après ses avis formulés ainsi :</t>
  </si>
  <si>
    <t>Tutoré:</t>
  </si>
  <si>
    <t>Signature:</t>
  </si>
  <si>
    <t>Chargé d'affaire:</t>
  </si>
  <si>
    <r>
      <t>Lorsque le fonctionnement d’un système d’éclairage est</t>
    </r>
    <r>
      <rPr>
        <sz val="10"/>
        <rFont val="PT Sans Narrow"/>
        <family val="2"/>
      </rPr>
      <t xml:space="preserve"> équipé</t>
    </r>
    <r>
      <rPr>
        <sz val="10"/>
        <color theme="1"/>
        <rFont val="PT Sans Narrow"/>
        <family val="2"/>
      </rPr>
      <t xml:space="preserve"> d’un temporisateur, l’extinction est progressive.</t>
    </r>
  </si>
  <si>
    <t>Dossier SOCOTEC:</t>
  </si>
  <si>
    <t>Date:</t>
  </si>
  <si>
    <t>Référence du rapport:</t>
  </si>
  <si>
    <t>Version 1</t>
  </si>
  <si>
    <t>Version 2 (annule et remplace la version 1)</t>
  </si>
  <si>
    <t>Version 3 (annule et remplace la version 2)</t>
  </si>
  <si>
    <t>Version 4 (annule et remplace la version 3)</t>
  </si>
  <si>
    <t>Version 5 (annule et remplace la version 4)</t>
  </si>
  <si>
    <t>Version 6 (annule et remplace la version 5)</t>
  </si>
  <si>
    <t>Version 7 (annule et remplace la version 6)</t>
  </si>
  <si>
    <t>Version 8 (annule et remplace la version 7)</t>
  </si>
  <si>
    <t>Version 9 (annule et remplace la version 8)</t>
  </si>
  <si>
    <t>Version 10 (annule et remplace la version 9)</t>
  </si>
  <si>
    <t>a confié à SOCOTEC LUXEMBOURG, qui l’a réalisée, une mission de vérification technique visant à vérifier le respect les règles d’accessibilité à tous qui leur sont applicables :</t>
  </si>
  <si>
    <r>
      <t>Ø</t>
    </r>
    <r>
      <rPr>
        <sz val="7"/>
        <color theme="1"/>
        <rFont val="Times New Roman"/>
        <family val="1"/>
      </rPr>
      <t xml:space="preserve">   </t>
    </r>
    <r>
      <rPr>
        <b/>
        <sz val="11"/>
        <color rgb="FFFF0000"/>
        <rFont val="Arial"/>
        <family val="2"/>
      </rPr>
      <t xml:space="preserve">NR </t>
    </r>
    <r>
      <rPr>
        <sz val="11"/>
        <rFont val="Arial"/>
        <family val="2"/>
      </rPr>
      <t>La disposition est incomplète ou ne respecte pas la règle d'accessibilité applicable</t>
    </r>
  </si>
  <si>
    <t>Liste des avis</t>
  </si>
  <si>
    <t>Si WC PMR dans un bloc réservé à un sexe, alors un WC PMR par bloc réservé</t>
  </si>
  <si>
    <t>Un lavabo au moins par groupe de lavabos ainsi que les divers aménagements, y compris les miroirs, distributeur de savon, sèche-mains et poubelle sont accessibles aux personnes handicapées</t>
  </si>
  <si>
    <t>Article 23. Sécurité et évacuation</t>
  </si>
  <si>
    <t>Article 7. Circulations intérieures horizontales</t>
  </si>
  <si>
    <t xml:space="preserve">Article 2. Cheminements extérieurs </t>
  </si>
  <si>
    <t>Article 4. Stationnement automobile</t>
  </si>
  <si>
    <t>Article 5. Accès</t>
  </si>
  <si>
    <t>Article 6. L’accueil du public</t>
  </si>
  <si>
    <t>Article 8. Circulations intérieures verticales</t>
  </si>
  <si>
    <t>Article 17. Sorties</t>
  </si>
  <si>
    <t>Article 15. Locaux ouverts au public, équipements et dispositifs de commande</t>
  </si>
  <si>
    <t>Article 16. Locaux WC</t>
  </si>
  <si>
    <t>Article 19. Besoins d’espaces libres de tout obstacle</t>
  </si>
  <si>
    <t>Pour que les personnes à mobilité réduite puissent se reposer, effectuer une manœuvre ou utiliser un équipement ou un dispositif quelconque, des espaces libres de tout obstacle sont prévus qui répondent aux caractéristiques suivantes :
1° les espaces sont horizontaux au dévers près, inférieur ou égal à 2 pour cent, sauf contre-indication ;
2° le palier de repos permet à une personne debout ou en fauteuil roulant de se reprendre et de souffler. Le palier de repos s’insère en intégralité dans le cheminement. Il correspond à une surface carrée de dimensions minimales de 150 cm x 150 cm. Il peut être réduit à un cercle d’un diamètre de 150 cm en cas de contraintes techniques ;
3° l’espace de manœuvre permet la manœuvre du fauteuil roulant. Il permet de s’orienter différemment ou de faire demi-tour. L’espace de manœuvre reste lié au cheminement. Il correspond à une surface carrée de 150 cm x 150 cm ;
4° l’espace d’usage permet le positionnement du fauteuil roulant pour utiliser un équipement ou un dispositif de commande ou de service. L’espace d’usage est situé à l’aplomb de l’équipement, du dispositif de commande ou de service et correspond à un rectangle de dimensions minimales de 90 cm x 120 cm.</t>
  </si>
  <si>
    <t>Article 20. Information et signalisation</t>
  </si>
  <si>
    <t>Article 21. Contrastes visuels</t>
  </si>
  <si>
    <t>Article 30. Cheminement de la voie publique</t>
  </si>
  <si>
    <t>Article 32. Quais d’embarquement et de débarquement des autobus et des tramways</t>
  </si>
  <si>
    <t>Article 29. Caisses de paiement disposées en batterie</t>
  </si>
  <si>
    <t>Article 27. Douches et cabines</t>
  </si>
  <si>
    <t>Article 31. Passages et gués</t>
  </si>
  <si>
    <t>Article 33. Bandes de stationnement et places de parcage</t>
  </si>
  <si>
    <t>Article 28. Accès au bassin d’une piscine</t>
  </si>
  <si>
    <t>Article 26. Etablissements d'hébergement ouverts au public</t>
  </si>
  <si>
    <t>Article 24. Etablissements recevant du public assis</t>
  </si>
  <si>
    <t>Article 22. Système de guidage tactile</t>
  </si>
  <si>
    <r>
      <t>Espace d’usage devant chaque équipement ou aménagement situé le long du cheminement pour permettre l’atteinte et l’usage. Dimensions des différents espaces (cf. Art.</t>
    </r>
    <r>
      <rPr>
        <sz val="10"/>
        <color theme="1"/>
        <rFont val="PT Sans Narrow"/>
        <family val="2"/>
      </rPr>
      <t>19, point 4)</t>
    </r>
  </si>
  <si>
    <t>Un cheminement extérieur accessible dans un lieu ouvert au public permet à toute personne, y compris aux personnes ayant un handicap visuel, auditif ou mental de se localiser, de s’orienter et d’atteindre un endroit dans un lieu ouvert au public en toute sécurité depuis la limite du terrain de ce lieu ouvert au public.</t>
  </si>
  <si>
    <t>(3)2°</t>
  </si>
  <si>
    <t>Le cheminement accessible est libre de tout obstacle</t>
  </si>
  <si>
    <t>Eléments suspendus : laisser un passage libre d’au moins 220 cm de hauteur au-dessus du sol</t>
  </si>
  <si>
    <t>b i</t>
  </si>
  <si>
    <t>b ii</t>
  </si>
  <si>
    <t>Longueur maximale L(m) = 14 - 4P/3   avec 3 ≤ P(%) ≤ 6    L(m)≤10 m</t>
  </si>
  <si>
    <t>Largeur entre mains courantes ≥ 150 cm dans les autres cas</t>
  </si>
  <si>
    <t>Largeur entre mains courantes ≥ 120 cm si complément au cheminement principal et si Lo ≤ 6 m</t>
  </si>
  <si>
    <t>a i</t>
  </si>
  <si>
    <t>a ii</t>
  </si>
  <si>
    <t>Les guichets d'accueil sont utilisables par une personne en position debout ou assise</t>
  </si>
  <si>
    <t>Guichet muni d'une vitre : éclairage naturel et artificiel qui évite des réflexions sur la vitre</t>
  </si>
  <si>
    <t>Si distributeur de tickets, il est soit adapté pour une utilisation par des personnes malvoyantes ou aveugles, soit permet l’appel d’une assistance humaine</t>
  </si>
  <si>
    <t>Les cheminements accessibles signalés de manière adaptée s'il y en a plusieurs</t>
  </si>
  <si>
    <t>(3) 1°</t>
  </si>
  <si>
    <t>(3) 2°</t>
  </si>
  <si>
    <t>(3) 3°</t>
  </si>
  <si>
    <t>Article 9. Escaliers</t>
  </si>
  <si>
    <t>Hauteur supérieure de 85 cm à 90 cm mesurée sur le nez de marche</t>
  </si>
  <si>
    <t>Différenciée de la paroi support grâce à un éclairage particulier ou contraste visuel</t>
  </si>
  <si>
    <t>Article 10. Ascenseurs et appareils élévateurs vertical à plate-forme</t>
  </si>
  <si>
    <r>
      <t>Partie haute de la main courante  ≤</t>
    </r>
    <r>
      <rPr>
        <sz val="11"/>
        <color theme="1"/>
        <rFont val="PT Sans Narrow"/>
        <family val="2"/>
      </rPr>
      <t xml:space="preserve"> </t>
    </r>
    <r>
      <rPr>
        <sz val="10"/>
        <color theme="1"/>
        <rFont val="PT Sans Narrow"/>
        <family val="2"/>
      </rPr>
      <t>90 cm du sol</t>
    </r>
  </si>
  <si>
    <t>(2)2°b</t>
  </si>
  <si>
    <t>(2)2°c</t>
  </si>
  <si>
    <t xml:space="preserve">Article 11. Tapis roulants, escaliers et plans inclinés mécaniques </t>
  </si>
  <si>
    <t>(2) 1°</t>
  </si>
  <si>
    <t>(2) 2°</t>
  </si>
  <si>
    <t>(2) 3°</t>
  </si>
  <si>
    <t>Article 13. Portes, portiques et sas</t>
  </si>
  <si>
    <t>Article 14. Espace de manœuvre de porte</t>
  </si>
  <si>
    <t>Si équipements soumis à horaires de fonctionnement, l’équipement adapté fonctionne en priorité</t>
  </si>
  <si>
    <t>Equipement, mobilier et dispositifs de commande utilisables par tous.
Leur disposition ne crée pas d’obstacle ou de danger pour les personnes ayant un handicap visuel</t>
  </si>
  <si>
    <t>3° d</t>
  </si>
  <si>
    <t>3° b</t>
  </si>
  <si>
    <t>3° a</t>
  </si>
  <si>
    <t>3° c</t>
  </si>
  <si>
    <t>3° e</t>
  </si>
  <si>
    <t>3° f</t>
  </si>
  <si>
    <t xml:space="preserve">(3)4° </t>
  </si>
  <si>
    <t xml:space="preserve">(3)5° </t>
  </si>
  <si>
    <t>Article 3. Plans inclinés</t>
  </si>
  <si>
    <t xml:space="preserve">Rapport d'audit / diagnostic de bâtiments existants
Accessibilité à tous des Lieux Ouverts au Public et/ou Voies Publiques
</t>
  </si>
  <si>
    <t>Espaces ou équipements de communication avec éclairage renforcé</t>
  </si>
  <si>
    <r>
      <t xml:space="preserve">Dispositif d'éclairage </t>
    </r>
    <r>
      <rPr>
        <sz val="10"/>
        <rFont val="PT Sans Narrow"/>
        <family val="2"/>
      </rPr>
      <t>(cf. Art. 18</t>
    </r>
    <r>
      <rPr>
        <sz val="10"/>
        <color theme="1"/>
        <rFont val="PT Sans Narrow"/>
        <family val="2"/>
      </rPr>
      <t>) artificiel ou naturel, sans gêne visuelle.
(pas d'extinction progressive, pas de chevauchement si deux zones avec détecteur, non éblouissant, non réfléchissant sur la signalétique)</t>
    </r>
  </si>
  <si>
    <t>Contremarches (exception esc.secours.ext.) / pleines / inclinées de max 2,5 cm vers l'intérieur</t>
  </si>
  <si>
    <t>Les escaliers à pas d’âne sont interdits</t>
  </si>
  <si>
    <t>Toute volée d’escalier répond aux exigences de l’article 9, à l’exception de l’éclairage</t>
  </si>
  <si>
    <t>Le cheminement comporte un dispositif d’éclairage répondant aux exigences définies à l’article 18</t>
  </si>
  <si>
    <t>Croisement de véhicules: éléments visuels et tactiles: BEV (cf. Art. 22) ainsi que marquage au sol et signalisation adaptée</t>
  </si>
  <si>
    <t>Maximum 16 marches par volée, recoupée par des paliers de profondeur 120 cm entre mains courantes</t>
  </si>
  <si>
    <t>Non interrompue (sauf si présence de moyens alternatifs de guidance et soutien)</t>
  </si>
  <si>
    <t>Pictogramme illuminé jaune (+ signal sonore) = demande émise</t>
  </si>
  <si>
    <t>Pictogramme illuminé vert  (+ signal sonore + liaison téléphonique) = demande enregistrée</t>
  </si>
  <si>
    <t>Escalier ou marche descendant(e) devant ou latéralement à l’aire de manœuvre de l'ascenseur situé à distance ≥ 90 cm de l’aire de manœuvre</t>
  </si>
  <si>
    <t>Dispositif automatique évitant tout contact physique lors de la fermeture des portes</t>
  </si>
  <si>
    <t>Un tapis roulant, un escalier mécanique ou un plan incliné mécanique est repérable et utilisable par des personnes ayant un handicap visuel ou des difficultés à conserver leur équilibre et est doublé par un cheminement accessible non mobile ou par un ascenseur.</t>
  </si>
  <si>
    <t>Commande d’arrêt d’urgence facilement repérable, accessible en position debout ou assise</t>
  </si>
  <si>
    <t xml:space="preserve"> Hauteur ≥ 85 et ≤  110 cm</t>
  </si>
  <si>
    <t>En l'absence d'espace de manœuvre, la porte est à ouverture automatique ou ouverte en permanence pendant les heures d’ouverture au public et ne se referme qu’en cas d’incendie</t>
  </si>
  <si>
    <t>Les informations fournies par les équipements et dispositifs de commande sont perçues par au moins deux des trois sens suivants : visuel, tactile ou acoustique</t>
  </si>
  <si>
    <t>Espace d'usage 90 cm x 120 cm situé à l’aplomb de tout équipement, mobilier, dispositif de commande et de service (cf. article 19)</t>
  </si>
  <si>
    <t>Système d'appel d'aide relié à l'accueil ou relié à une permanence, à côté du WC et du lavabo avec corde qui descend au niveau du sol</t>
  </si>
  <si>
    <t>La mise en place des points lumineux est réalisée de manière à éviter tout effet d’éblouissement direct des usagers en position « debout » comme en position « assise » ou de reflet sur la signalétique</t>
  </si>
  <si>
    <t>La qualité de l’éclairage, artificiel ou naturel, des circulations intérieures et extérieures est telle que l’ensemble du cheminement est traité sans créer de gêne visuelle</t>
  </si>
  <si>
    <t>Article 18.Eclairage</t>
  </si>
  <si>
    <t>1 chambre supplémentaire par tranche ou fraction de 50 chambres supplémentaires</t>
  </si>
  <si>
    <t>espace libre d'au moins 150 cm de diamètre hors débattement porte et lit</t>
  </si>
  <si>
    <t>passage ≥90 cm (120) cm sur les 2 grands côtés lit et passage ≥ 120 (90) cm sur le petit côté</t>
  </si>
  <si>
    <t xml:space="preserve">Si en niche : largeur ≥ 150 cm et profondeur ≥ 90 cm </t>
  </si>
  <si>
    <t>3°b</t>
  </si>
  <si>
    <t>Cabines aménagées</t>
  </si>
  <si>
    <t>l'accès aux caisses adaptées largeur ≥ 100 cm</t>
  </si>
  <si>
    <t>Surface de manœuvre dans WC :Diamètre ≥ 150 cm
Libre de tout obstacle
Ne peut pas empiéter sur les différents équipements  sanitaires</t>
  </si>
  <si>
    <t>Accès de deux côtés : largeur ≥ 220 cm axé cuvette, profondeur = longueur WC +  120 cm</t>
  </si>
  <si>
    <t>distributeur de savon + distrib papier + sèches mains actionnable à 1 main ou déclenchement automatique  Hauteur ≥ 85 et ≤ 110 cm du sol / à portée de main</t>
  </si>
  <si>
    <t>Article 25. Salles polyvalentes</t>
  </si>
  <si>
    <t>Article 12. Revêtements des sols, murs et plafonds</t>
  </si>
  <si>
    <t xml:space="preserve">Signalisation adaptée et à proximité des commandes d'appel pour ascenseur desservant de façon sélective différents niveaux </t>
  </si>
  <si>
    <t xml:space="preserve">Si escalier descendant : bandes d'éveil à la vigilance sur toute la largeur de la marche (cf. Art. 22-point 5) - La bande peut être </t>
  </si>
  <si>
    <t>Porte avec partie vitrée sont repérables en position ouverte ou fermée à l’aide d’éléments visuels contrastés par rapport à l’environnement immédiat conformément à l'art. 2(3)3°d.</t>
  </si>
  <si>
    <t>Porte de type va et vient munie d'un dispositif contre oscillation au-delà de la fermeture
Elles sont à équiper d’une partie transparente définie à l’article 2, paragraphe 3, point 3°, lettre d) ;</t>
  </si>
  <si>
    <t>Force d'ouverture des portes munie d’un ferme-porte ≤ 50 Nm, sinon à motoriser (sauf porte coupe-feu avec fermeture automatique asservie au système d'alarme incendie où une force plus importante est tolérée)</t>
  </si>
  <si>
    <t>Système de verrouillage de porte, à l'intérieur, facile à saisir et à manipuler</t>
  </si>
  <si>
    <t>Cet article décrit les caractéristiques dimensionnelles des espaces libres de tout obstacle.
Les non conformités sont relevées dans les articles correspondant : Articles 2, 3, 7, 15 et 16</t>
  </si>
  <si>
    <t>Notre contrôle se limite à une appréciation visuelle des contrastes, réalisée dans les conditions d'éclairage (naturel et artificiel) présentes le jour de notre visite. Cette appréciation ne permet pas de vérifier les valeurs de contraste (k) et de réflexion de la lumière (VRL) exigées par le présent article. La conformité de cet article doit être complétée soit par la production, par le maître d'ouvrage, des fiches techniques des fabricants indiquant les VRL des matériaux et revêtements mis en œuvre, soit par des mesures des VRL réalisées sur site au moyen d'un appareil adapté (spectrophotomètre ou colorimètre).</t>
  </si>
  <si>
    <t>adaptation possible pour une population spécifique</t>
  </si>
  <si>
    <t>Notre contrôle se limite à la constatation de la présence des dispositifs d'alarme sonores et visuels et de l'existence d'une procédure d'évacuation documentée. La perceptibilité effective de l'alarme relève des contrôles périodiques et/ou de la maintenance. La conformité de la procédure d'évacuation des PMR est visée lors des opérations de réception de sécurité générale de l'établissement.</t>
  </si>
  <si>
    <t>Présence d'une stratégie d'évacuation des personnes handicapées établie et documentée</t>
  </si>
  <si>
    <t>Présence d'un dispositif (visuel et acoustique) assurant la perceptibilité de l'alarme  dans tous les locaux ouverts au public</t>
  </si>
  <si>
    <t>réparties entre niveaux desservies par l'ascenseur</t>
  </si>
  <si>
    <t xml:space="preserve">Système d'appel d'aide relié à l’accueil ou à une permanence , activé par une corde qui descend jusqu’au niveau du sol à côté du WC et du lavabo conformément à l’article 16, point 5°
</t>
  </si>
  <si>
    <t>Le présent article ne fixe aucune valeur seuil d'éclairement. Notre contrôle n'inclut donc pas de mesure des niveaux d'éclairement. Les constats résultent d'une appréciation visuelle, réalisée dans les conditions d'éclairage naturel et artificiel présentes le jour de la visite. Le cas échéant, le maître d'ouvrage peut compléter cette appréciation par une note de calcul ou une étude d'éclairement établie par un bureau d'études.</t>
  </si>
  <si>
    <t>Par dérogation au paragraphe 1er, les lieux ou parties des lieux ouverts au public visés à l’article 1er, point 1°, de la loi du 7 janvier 2022 portant sur l’accessibilité à tous des lieux ouverts au public, des voies publiques et des bâtiments d’habitation collectifs, qui relèvent des dispositions de la loi modifiée du 10 juin 1999 relative aux établissements classés sont soumis en ce qui concerne les conditions d’évacuation :
1° aux prescriptions fixées par voie d’arrêtés d’autorisation délivrés par le ministre ayant le Travail dans ses attributions et ;
2° aux dispositions prévues par le règlement grand-ducal modifié du 13 juin 1979 concernant les directives en matière de sécurité dans la fonction publique s’il s’agit d’établissements classés visés par la loi modifiée du 19 mars 1988 concernant la sécurité dans les administrations et services de l’État, dans les établissements publics et dans les écoles</t>
  </si>
  <si>
    <t>Aucune dérogation ne nous a été présentée</t>
  </si>
  <si>
    <t>Vous avez fait appel à nos services et nous vous en remercions.
Pour tout complément d'information, votre interlocuteur SOCOTEC Luxembourg est à votre disposition</t>
  </si>
  <si>
    <t>Revêtement dur, non glissant, non éblouissant, trous, fentes d≤ 2 cm (cf. Art. 12)</t>
  </si>
  <si>
    <t>Merci de noter que notre diagnostic porte sur la parcelle cadastrale du bâtiment. L'évaluation des passages et gués n'a ainsi pas été réalisée.</t>
  </si>
  <si>
    <t>Merci de noter que notre diagnostic porte sur la parcelle cadastrale du bâtiment. L'évaluation des quais d’embarquement et de débarquement des autobus et des tramways n'a ainsi pas été réalisée.</t>
  </si>
  <si>
    <t xml:space="preserve">Merci de noter que notre diagnostic porte sur la parcelle cadastrale du bâtiment. L'évaluation des bandes de stationnement n'a été réalisée qu'en l'absence de places de parking au sein de la parcelle cadastrale. </t>
  </si>
  <si>
    <t>Annexe / Remarque</t>
  </si>
  <si>
    <r>
      <t>Ø</t>
    </r>
    <r>
      <rPr>
        <sz val="7"/>
        <color theme="1"/>
        <rFont val="Times New Roman"/>
        <family val="1"/>
      </rPr>
      <t xml:space="preserve">   </t>
    </r>
    <r>
      <rPr>
        <b/>
        <sz val="11"/>
        <color rgb="FF00B050"/>
        <rFont val="Arial"/>
        <family val="2"/>
      </rPr>
      <t xml:space="preserve">R </t>
    </r>
    <r>
      <rPr>
        <sz val="11"/>
        <rFont val="Arial"/>
        <family val="2"/>
      </rPr>
      <t>La disposition respecte la règle d'accessibilité applicable</t>
    </r>
  </si>
  <si>
    <t>Si dénivellation &gt;3% alors un plan incliné (cf. Art. 3) ou un ascenseur (cf.  Art. 10 ) est à mettre en place</t>
  </si>
  <si>
    <t>si longueur ≤ 6m alors largeur ≥ 120 cm  et aire de manœuvre de 150x150cm aux extrémités</t>
  </si>
  <si>
    <t>si longueur &gt; 6m alors largeur ≥150 cm  et aire de manœuvre de 180x180cm tous les 15m</t>
  </si>
  <si>
    <t>si longueur &gt; 6m alors largeur ≥ 150 cm  et aire de manœuvre de 180x180cm tous les 15m</t>
  </si>
  <si>
    <t>Revêtement dur, non glissant, non éblouissement, trous, fentes d≤ 2 cm (cf. Art. 12)</t>
  </si>
  <si>
    <t>Espace de manœuvre de porte (art. 14) devant chaque porte. 
Sauf escalier sans EAS et locaux non adaptés (douches, WC, cabines ou autres locaux)</t>
  </si>
  <si>
    <t>Poignée facilement préhensibles et manœuvrables en position debout ou assis</t>
  </si>
  <si>
    <t>Cet article décrit les caractéristiques dimensionnelles à respecter des espaces de manœuvre des portes.
Les non conformités sont relevées dans l'article 13 (2) 1° f) précédent.</t>
  </si>
  <si>
    <t>Equipements repérables grâce à un éclairage particulier notamment par contraste visuel</t>
  </si>
  <si>
    <t>Les sorties principales doivent être repérables de tout point où le public est admis :
Soit directement
Soit par l'intermédiaire d'une signalisation adaptée (voir Art 20.)</t>
  </si>
  <si>
    <t>Si suivi  de stries parallèles à la ligne, il indique un point d'information.</t>
  </si>
  <si>
    <t>desservies par ascenseur</t>
  </si>
  <si>
    <t>Si WC dans la chambre, conforme à l'art. 16. Accès latéral sur un seul côté possible.</t>
  </si>
  <si>
    <t>En cas de besoin, sauf si gêne pour riverains : signal acoustique en dehors de la phase verte</t>
  </si>
  <si>
    <t>Notre contrôle n’inclut pas de mesures acoustiques (temps de réverbération, niveau de bruit de fond, intelligibilité de la parole) ni de mesures photométriques des contrastes de luminance. Les constats relatifs aux revêtements, à l’acoustique et aux contrastes résultent d’une appréciation visuelle et auditive, réalisée dans les conditions d’occupation et d’éclairage présentes le jour de la visite. Seule la hauteur de ressaut des tapis fait l’objet d’une vérification dimensionnelle. Le cas échéant, le maître d’ouvrage peut compléter cette appréciation par une étude acoustique ou par des mesures de contraste établies par un bureau d’études.</t>
  </si>
  <si>
    <t>Merci de noter que notre diagnostic porte sur la parcelle cadastrale du bâtiment. L'évaluation ci-dessous a porté uniquement sur les "parties" de cheminement de la voie publique ayant du être traversées depuis la zone de parking la plus proche ou concerne une zone de voirie attenante à la parcelle et conditionnant l'accès à la parcelle</t>
  </si>
  <si>
    <t>Concerne hébergement ouverts au public (&gt;10 chambres)
statut de l’hôtellerie : hôtels / motels / pensions de famille / auberges / autres établissements à dénomination synonyme ou dérivée 
internats
hôpitaux
structures d’hébergement (loi ASFT)
Ne sont pas considérés : les structures d'hébergement d’urgence (OLAI) / campings et structures temporaires</t>
  </si>
  <si>
    <t>pour signalisation adaptée voir "information et signalisation Art. 20"</t>
  </si>
  <si>
    <t xml:space="preserve">Mention des éventuels locaux ou parties du bâtiment qui n'ont pu être visités : Non accessible ou non disponible lors de notre visite. En l'absence de constat, la conformité ne peut être attestée. Il appartient au maître d'ouvrage d'en justifier. 
</t>
  </si>
  <si>
    <t>Ce document comporte 36 pages y compris la page de garde</t>
  </si>
  <si>
    <t>contraste visuel et tactile par rapport à environnement (contrastes visuels Art. 21)</t>
  </si>
  <si>
    <t>Accessible des 2 côtés si à proximité OU 1 côté si dans la chambre (cf. Art. 16)</t>
  </si>
  <si>
    <t>lavabo avec miroir et équipements conformes à l’article 16</t>
  </si>
  <si>
    <t>espace de manœuvre (cf. Art. 19-3°) : 150 x 150 cm</t>
  </si>
  <si>
    <t>Si pas d'élément de guidage : guidage tactile continu (système de guidage tactile Art. 22)</t>
  </si>
  <si>
    <t>éléments podotactiles (cf. Art. 22)</t>
  </si>
  <si>
    <t>Quais avec signalétique tactile et visuelle au sol conf. à Art. 22 pour permettre aux personnes malvoyantes ou aveugles de les repérer, de s’y orienter en toute sécurité et d’être guidées, si possible, vers une porte d’entrée de l’autobus ou du tramway.</t>
  </si>
  <si>
    <t>Peut être signalé avec un carré de changement de direction sur la ligne de guidage (voir Art 22, point 3°)</t>
  </si>
  <si>
    <r>
      <t>Signalisation et informations des quais d'embarquement / débarquement répondent aux exigences de l'</t>
    </r>
    <r>
      <rPr>
        <sz val="10"/>
        <rFont val="PT Sans Narrow"/>
        <family val="2"/>
      </rPr>
      <t>Art 20</t>
    </r>
  </si>
  <si>
    <t>Emplacements réservés aux personnes handicapées sont aménagés selon Art 4</t>
  </si>
  <si>
    <t>Contraste suffisant entre les éléments de construction ( voir Art. 21. )</t>
  </si>
  <si>
    <t>Contraste suffisant de la signalétique ( voir Art. 21.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</si>
</sst>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9" x14ac:knownFonts="1">
    <font>
      <sz val="10"/>
      <color theme="1"/>
      <name val="PT Sans Narrow"/>
      <family val="2"/>
    </font>
    <font>
      <sz val="11"/>
      <color theme="1"/>
      <name val="PT Sans Narrow"/>
      <family val="2"/>
    </font>
    <font>
      <b/>
      <sz val="11"/>
      <color theme="1"/>
      <name val="PT Sans Narrow"/>
      <family val="2"/>
    </font>
    <font>
      <sz val="11"/>
      <color rgb="FF9C5700"/>
      <name val="Calibri"/>
      <family val="2"/>
      <scheme val="minor"/>
    </font>
    <font>
      <i/>
      <sz val="11"/>
      <color theme="1"/>
      <name val="PT Sans Narrow"/>
      <family val="2"/>
    </font>
    <font>
      <sz val="10"/>
      <color theme="1"/>
      <name val="PT Sans Narrow"/>
      <family val="2"/>
    </font>
    <font>
      <b/>
      <sz val="10"/>
      <color theme="3"/>
      <name val="PT Sans Narrow"/>
      <family val="2"/>
    </font>
    <font>
      <sz val="10"/>
      <color theme="3"/>
      <name val="PT Sans Narrow"/>
      <family val="2"/>
    </font>
    <font>
      <b/>
      <sz val="10"/>
      <color theme="8" tint="0.39997558519241921"/>
      <name val="PT Sans Narrow"/>
      <family val="2"/>
    </font>
    <font>
      <b/>
      <sz val="10"/>
      <color theme="1"/>
      <name val="PT Sans Narrow"/>
      <family val="2"/>
    </font>
    <font>
      <sz val="10"/>
      <name val="PT Sans Narrow"/>
      <family val="2"/>
    </font>
    <font>
      <b/>
      <sz val="10"/>
      <name val="PT Sans Narrow"/>
      <family val="2"/>
    </font>
    <font>
      <i/>
      <sz val="10"/>
      <color theme="1"/>
      <name val="PT Sans Narrow"/>
      <family val="2"/>
    </font>
    <font>
      <b/>
      <sz val="10"/>
      <color rgb="FF231F20"/>
      <name val="Arial"/>
      <family val="2"/>
    </font>
    <font>
      <sz val="10"/>
      <color rgb="FF231F20"/>
      <name val="PT Sans Narrow"/>
      <family val="2"/>
    </font>
    <font>
      <sz val="10"/>
      <color rgb="FF231F20"/>
      <name val="Arial"/>
      <family val="2"/>
    </font>
    <font>
      <sz val="10"/>
      <color rgb="FFFF0000"/>
      <name val="PT Sans Narrow"/>
      <family val="2"/>
    </font>
    <font>
      <sz val="10"/>
      <color rgb="FF00B0F0"/>
      <name val="PT Sans Narrow"/>
      <family val="2"/>
    </font>
    <font>
      <b/>
      <sz val="10"/>
      <color rgb="FFFF0000"/>
      <name val="PT Sans Narrow"/>
      <family val="2"/>
    </font>
    <font>
      <strike/>
      <sz val="10"/>
      <color rgb="FFFF0000"/>
      <name val="PT Sans Narrow"/>
      <family val="2"/>
    </font>
    <font>
      <strike/>
      <sz val="10"/>
      <color rgb="FFFF0000"/>
      <name val="Cambria"/>
      <family val="1"/>
    </font>
    <font>
      <sz val="10"/>
      <name val="Calibri"/>
      <family val="2"/>
    </font>
    <font>
      <sz val="11"/>
      <name val="PT Sans Narrow"/>
      <family val="2"/>
    </font>
    <font>
      <sz val="10"/>
      <color theme="1"/>
      <name val="Calibri"/>
      <family val="2"/>
    </font>
    <font>
      <sz val="10"/>
      <color theme="1"/>
      <name val="Arial"/>
      <family val="2"/>
    </font>
    <font>
      <b/>
      <sz val="10"/>
      <color theme="1"/>
      <name val="Arial"/>
      <family val="2"/>
    </font>
    <font>
      <sz val="8"/>
      <color theme="1"/>
      <name val="Arial"/>
      <family val="2"/>
    </font>
    <font>
      <b/>
      <sz val="12"/>
      <color theme="1"/>
      <name val="Arial"/>
      <family val="2"/>
    </font>
    <font>
      <i/>
      <sz val="10"/>
      <color theme="1"/>
      <name val="Arial"/>
      <family val="2"/>
    </font>
    <font>
      <sz val="6"/>
      <color theme="1"/>
      <name val="Arial"/>
      <family val="2"/>
    </font>
    <font>
      <sz val="11"/>
      <color theme="1"/>
      <name val="Arial"/>
      <family val="2"/>
    </font>
    <font>
      <sz val="11"/>
      <color theme="1"/>
      <name val="Wingdings"/>
      <charset val="2"/>
    </font>
    <font>
      <sz val="7"/>
      <color theme="1"/>
      <name val="Times New Roman"/>
      <family val="1"/>
    </font>
    <font>
      <sz val="10.5"/>
      <color theme="1"/>
      <name val="Arial"/>
      <family val="2"/>
    </font>
    <font>
      <b/>
      <sz val="11"/>
      <color theme="1"/>
      <name val="Arial"/>
      <family val="2"/>
    </font>
    <font>
      <b/>
      <sz val="11"/>
      <color rgb="FF00B050"/>
      <name val="Arial"/>
      <family val="2"/>
    </font>
    <font>
      <b/>
      <sz val="11"/>
      <color rgb="FFFF0000"/>
      <name val="Arial"/>
      <family val="2"/>
    </font>
    <font>
      <sz val="11"/>
      <name val="Arial"/>
      <family val="2"/>
    </font>
    <font>
      <b/>
      <sz val="10"/>
      <color rgb="FF00B050"/>
      <name val="PT Sans Narrow"/>
      <family val="2"/>
    </font>
    <font>
      <b/>
      <i/>
      <sz val="10"/>
      <color rgb="FF00B050"/>
      <name val="PT Sans Narrow"/>
      <family val="2"/>
    </font>
    <font>
      <b/>
      <i/>
      <sz val="10"/>
      <color rgb="FFFF0000"/>
      <name val="PT Sans Narrow"/>
      <family val="2"/>
    </font>
    <font>
      <b/>
      <sz val="10"/>
      <color rgb="FFFF0000"/>
      <name val="Arial"/>
      <family val="2"/>
    </font>
    <font>
      <b/>
      <sz val="10"/>
      <color rgb="FF00B050"/>
      <name val="Arial"/>
      <family val="2"/>
    </font>
    <font>
      <sz val="9"/>
      <color rgb="FFFF0000"/>
      <name val="Arial"/>
      <family val="2"/>
    </font>
    <font>
      <sz val="9"/>
      <name val="Arial"/>
      <family val="2"/>
    </font>
    <font>
      <sz val="10"/>
      <name val="Arial"/>
      <family val="2"/>
    </font>
    <font>
      <b/>
      <i/>
      <sz val="10"/>
      <name val="PT Sans Narrow"/>
      <family val="2"/>
    </font>
    <font>
      <i/>
      <sz val="10"/>
      <name val="PT Sans Narrow"/>
      <family val="2"/>
    </font>
    <font>
      <sz val="10"/>
      <name val="Calibri"/>
      <family val="2"/>
      <scheme val="minor"/>
    </font>
  </fonts>
  <fills count="12">
    <fill>
      <patternFill patternType="none"/>
    </fill>
    <fill>
      <patternFill patternType="gray125"/>
    </fill>
    <fill>
      <patternFill patternType="solid">
        <fgColor theme="8" tint="0.79998168889431442"/>
        <bgColor indexed="64"/>
      </patternFill>
    </fill>
    <fill>
      <patternFill patternType="solid">
        <fgColor rgb="FFFFEB9C"/>
      </patternFill>
    </fill>
    <fill>
      <patternFill patternType="solid">
        <fgColor theme="0" tint="-0.24994659260841701"/>
        <bgColor indexed="64"/>
      </patternFill>
    </fill>
    <fill>
      <patternFill patternType="solid">
        <fgColor theme="0" tint="-0.14996795556505021"/>
        <bgColor indexed="64"/>
      </patternFill>
    </fill>
    <fill>
      <patternFill patternType="solid">
        <fgColor theme="0" tint="-0.34998626667073579"/>
        <bgColor auto="1"/>
      </patternFill>
    </fill>
    <fill>
      <patternFill patternType="solid">
        <fgColor theme="0" tint="-0.14999847407452621"/>
        <bgColor indexed="64"/>
      </patternFill>
    </fill>
    <fill>
      <patternFill patternType="solid">
        <fgColor theme="3" tint="0.59999389629810485"/>
        <bgColor indexed="64"/>
      </patternFill>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3" fillId="3" borderId="0" applyNumberFormat="0" applyBorder="0" applyAlignment="0" applyProtection="0"/>
    <xf numFmtId="0" fontId="2" fillId="6" borderId="1" applyAlignment="0"/>
    <xf numFmtId="0" fontId="1" fillId="4" borderId="0"/>
    <xf numFmtId="0" fontId="4" fillId="5" borderId="1" applyAlignment="0"/>
  </cellStyleXfs>
  <cellXfs count="333">
    <xf numFmtId="0" fontId="0" fillId="0" borderId="0" xfId="0"/>
    <xf numFmtId="49" fontId="10" fillId="0" borderId="1" xfId="0" applyNumberFormat="1" applyFont="1" applyBorder="1" applyAlignment="1">
      <alignment horizontal="center"/>
    </xf>
    <xf numFmtId="49" fontId="7" fillId="0" borderId="0" xfId="0" applyNumberFormat="1" applyFont="1" applyAlignment="1">
      <alignment horizontal="left" vertical="center"/>
    </xf>
    <xf numFmtId="49" fontId="0" fillId="0" borderId="1" xfId="0" applyNumberFormat="1" applyBorder="1" applyAlignment="1">
      <alignment horizontal="center"/>
    </xf>
    <xf numFmtId="49" fontId="0" fillId="0" borderId="1" xfId="0" applyNumberFormat="1" applyBorder="1" applyAlignment="1">
      <alignment horizontal="center" vertical="center"/>
    </xf>
    <xf numFmtId="49" fontId="0" fillId="0" borderId="0" xfId="0" applyNumberFormat="1" applyAlignment="1">
      <alignment horizontal="center"/>
    </xf>
    <xf numFmtId="49" fontId="0" fillId="0" borderId="0" xfId="0" applyNumberFormat="1"/>
    <xf numFmtId="49" fontId="10" fillId="0" borderId="1" xfId="0" applyNumberFormat="1" applyFont="1" applyBorder="1" applyAlignment="1">
      <alignment horizontal="left" wrapText="1"/>
    </xf>
    <xf numFmtId="49" fontId="0" fillId="0" borderId="0" xfId="0" applyNumberFormat="1" applyAlignment="1">
      <alignment vertical="center"/>
    </xf>
    <xf numFmtId="49" fontId="0" fillId="0" borderId="1" xfId="0" applyNumberFormat="1" applyBorder="1" applyAlignment="1">
      <alignment wrapText="1"/>
    </xf>
    <xf numFmtId="49" fontId="14" fillId="0" borderId="1" xfId="0" applyNumberFormat="1" applyFont="1" applyBorder="1" applyAlignment="1">
      <alignment horizontal="justify" vertical="center"/>
    </xf>
    <xf numFmtId="49" fontId="10" fillId="0" borderId="1" xfId="0" applyNumberFormat="1" applyFont="1" applyBorder="1" applyAlignment="1">
      <alignment wrapText="1"/>
    </xf>
    <xf numFmtId="49" fontId="15" fillId="0" borderId="0" xfId="0" applyNumberFormat="1" applyFont="1" applyAlignment="1">
      <alignment horizontal="center"/>
    </xf>
    <xf numFmtId="49" fontId="17" fillId="0" borderId="0" xfId="0" applyNumberFormat="1" applyFont="1" applyAlignment="1">
      <alignment horizontal="left" vertical="center"/>
    </xf>
    <xf numFmtId="49" fontId="10" fillId="0" borderId="0" xfId="0" applyNumberFormat="1" applyFont="1"/>
    <xf numFmtId="49" fontId="10" fillId="0" borderId="0" xfId="0" applyNumberFormat="1" applyFont="1" applyAlignment="1">
      <alignment horizontal="left" indent="1"/>
    </xf>
    <xf numFmtId="49" fontId="10" fillId="0" borderId="0" xfId="0" applyNumberFormat="1" applyFont="1" applyAlignment="1">
      <alignment vertical="center"/>
    </xf>
    <xf numFmtId="49" fontId="10" fillId="0" borderId="0" xfId="0" applyNumberFormat="1" applyFont="1" applyAlignment="1">
      <alignment horizontal="left" indent="2"/>
    </xf>
    <xf numFmtId="49" fontId="10" fillId="0" borderId="0" xfId="0" applyNumberFormat="1" applyFont="1" applyAlignment="1">
      <alignment horizontal="center"/>
    </xf>
    <xf numFmtId="49" fontId="10" fillId="0" borderId="1" xfId="0" applyNumberFormat="1" applyFont="1" applyBorder="1" applyAlignment="1">
      <alignment horizontal="center" vertical="top" wrapText="1"/>
    </xf>
    <xf numFmtId="49" fontId="16" fillId="0" borderId="0" xfId="0" applyNumberFormat="1" applyFont="1"/>
    <xf numFmtId="49" fontId="10" fillId="0" borderId="0" xfId="0" applyNumberFormat="1" applyFont="1" applyAlignment="1">
      <alignment horizontal="left" indent="3"/>
    </xf>
    <xf numFmtId="49" fontId="0" fillId="0" borderId="0" xfId="0" applyNumberFormat="1" applyAlignment="1">
      <alignment horizontal="left" indent="1"/>
    </xf>
    <xf numFmtId="49" fontId="0" fillId="0" borderId="1" xfId="0" applyNumberFormat="1" applyBorder="1" applyAlignment="1">
      <alignment horizontal="left" wrapText="1"/>
    </xf>
    <xf numFmtId="49" fontId="19" fillId="0" borderId="0" xfId="0" applyNumberFormat="1" applyFont="1"/>
    <xf numFmtId="49" fontId="19" fillId="0" borderId="0" xfId="0" applyNumberFormat="1" applyFont="1" applyAlignment="1">
      <alignment horizontal="left" indent="1"/>
    </xf>
    <xf numFmtId="49" fontId="17" fillId="0" borderId="0" xfId="0" applyNumberFormat="1" applyFont="1" applyAlignment="1">
      <alignment horizontal="center"/>
    </xf>
    <xf numFmtId="49" fontId="20" fillId="0" borderId="0" xfId="0" applyNumberFormat="1" applyFont="1"/>
    <xf numFmtId="49" fontId="20" fillId="0" borderId="0" xfId="0" applyNumberFormat="1" applyFont="1" applyAlignment="1">
      <alignment wrapText="1"/>
    </xf>
    <xf numFmtId="49" fontId="17" fillId="0" borderId="0" xfId="0" applyNumberFormat="1" applyFont="1"/>
    <xf numFmtId="49" fontId="10" fillId="0" borderId="1" xfId="0" applyNumberFormat="1" applyFont="1" applyBorder="1" applyAlignment="1">
      <alignment horizontal="left" vertical="center"/>
    </xf>
    <xf numFmtId="49" fontId="10" fillId="0" borderId="1" xfId="0" applyNumberFormat="1" applyFont="1" applyBorder="1" applyAlignment="1">
      <alignment horizontal="left" vertical="center" wrapText="1"/>
    </xf>
    <xf numFmtId="49" fontId="15" fillId="0" borderId="0" xfId="0" applyNumberFormat="1" applyFont="1"/>
    <xf numFmtId="49" fontId="0" fillId="0" borderId="5" xfId="0" applyNumberFormat="1" applyBorder="1" applyAlignment="1">
      <alignment horizontal="center"/>
    </xf>
    <xf numFmtId="49" fontId="0" fillId="0" borderId="5" xfId="0" applyNumberFormat="1" applyBorder="1"/>
    <xf numFmtId="49" fontId="0" fillId="0" borderId="5" xfId="0" applyNumberFormat="1" applyBorder="1" applyAlignment="1">
      <alignment horizontal="center" vertical="center"/>
    </xf>
    <xf numFmtId="49" fontId="0" fillId="0" borderId="0" xfId="0" applyNumberFormat="1" applyAlignment="1">
      <alignment horizontal="center" vertical="center"/>
    </xf>
    <xf numFmtId="49" fontId="16" fillId="0" borderId="0" xfId="0" applyNumberFormat="1" applyFont="1" applyAlignment="1">
      <alignment horizontal="left" vertical="top" wrapText="1"/>
    </xf>
    <xf numFmtId="49" fontId="0" fillId="0" borderId="0" xfId="0" applyNumberFormat="1" applyAlignment="1">
      <alignment wrapText="1"/>
    </xf>
    <xf numFmtId="49" fontId="0" fillId="0" borderId="0" xfId="0" applyNumberFormat="1" applyAlignment="1">
      <alignment horizontal="left" vertical="top" wrapText="1"/>
    </xf>
    <xf numFmtId="49" fontId="6" fillId="0" borderId="0" xfId="0" applyNumberFormat="1" applyFont="1" applyAlignment="1">
      <alignment horizontal="left" vertical="center"/>
    </xf>
    <xf numFmtId="49" fontId="9" fillId="7" borderId="1" xfId="2" applyNumberFormat="1" applyFont="1" applyFill="1"/>
    <xf numFmtId="49" fontId="9" fillId="0" borderId="0" xfId="0" applyNumberFormat="1" applyFont="1" applyAlignment="1">
      <alignment horizontal="left"/>
    </xf>
    <xf numFmtId="49" fontId="9" fillId="7" borderId="1" xfId="2" applyNumberFormat="1" applyFont="1" applyFill="1" applyAlignment="1">
      <alignment wrapText="1"/>
    </xf>
    <xf numFmtId="49" fontId="9" fillId="7" borderId="4" xfId="0" applyNumberFormat="1" applyFont="1" applyFill="1" applyBorder="1" applyAlignment="1">
      <alignment horizontal="center" vertical="center"/>
    </xf>
    <xf numFmtId="49" fontId="9" fillId="7" borderId="1" xfId="2" applyNumberFormat="1" applyFont="1" applyFill="1" applyAlignment="1">
      <alignment horizontal="center" vertical="center"/>
    </xf>
    <xf numFmtId="49" fontId="5" fillId="0" borderId="1" xfId="2" applyNumberFormat="1" applyFont="1" applyFill="1" applyAlignment="1">
      <alignment horizontal="center" vertical="center"/>
    </xf>
    <xf numFmtId="49" fontId="10" fillId="0" borderId="1" xfId="0" applyNumberFormat="1" applyFont="1" applyBorder="1" applyAlignment="1">
      <alignment horizontal="center" wrapText="1"/>
    </xf>
    <xf numFmtId="49" fontId="0" fillId="0" borderId="1" xfId="0" applyNumberFormat="1" applyBorder="1" applyAlignment="1">
      <alignment horizontal="left" vertical="center" wrapText="1"/>
    </xf>
    <xf numFmtId="49" fontId="10" fillId="0" borderId="1" xfId="0" applyNumberFormat="1" applyFont="1" applyBorder="1" applyAlignment="1">
      <alignment horizontal="center" vertical="top"/>
    </xf>
    <xf numFmtId="49" fontId="10" fillId="0" borderId="1" xfId="0" applyNumberFormat="1" applyFont="1" applyBorder="1" applyAlignment="1">
      <alignment horizontal="center" vertical="center"/>
    </xf>
    <xf numFmtId="49" fontId="10" fillId="7" borderId="4" xfId="0" applyNumberFormat="1" applyFont="1" applyFill="1" applyBorder="1" applyAlignment="1">
      <alignment horizontal="center" vertical="center"/>
    </xf>
    <xf numFmtId="49" fontId="10" fillId="0" borderId="4" xfId="0" quotePrefix="1" applyNumberFormat="1" applyFont="1" applyBorder="1" applyAlignment="1">
      <alignment horizontal="center" vertical="center"/>
    </xf>
    <xf numFmtId="49" fontId="11" fillId="7" borderId="1" xfId="2" applyNumberFormat="1" applyFont="1" applyFill="1" applyAlignment="1">
      <alignment horizontal="center" vertical="center"/>
    </xf>
    <xf numFmtId="49" fontId="11" fillId="7" borderId="1" xfId="2" quotePrefix="1" applyNumberFormat="1" applyFont="1" applyFill="1" applyAlignment="1">
      <alignment horizontal="center" vertical="center"/>
    </xf>
    <xf numFmtId="49" fontId="11" fillId="7" borderId="1" xfId="0" applyNumberFormat="1" applyFont="1" applyFill="1" applyBorder="1" applyAlignment="1">
      <alignment horizontal="center" vertical="center"/>
    </xf>
    <xf numFmtId="49" fontId="11" fillId="7" borderId="4" xfId="0" applyNumberFormat="1" applyFont="1" applyFill="1" applyBorder="1" applyAlignment="1">
      <alignment horizontal="center" vertical="center"/>
    </xf>
    <xf numFmtId="49" fontId="8" fillId="0" borderId="4" xfId="0" applyNumberFormat="1" applyFont="1" applyBorder="1" applyAlignment="1">
      <alignment horizontal="center" vertical="center"/>
    </xf>
    <xf numFmtId="49" fontId="5" fillId="0" borderId="1" xfId="3" applyNumberFormat="1" applyFont="1" applyFill="1" applyBorder="1" applyAlignment="1">
      <alignment horizontal="center" vertical="center"/>
    </xf>
    <xf numFmtId="49" fontId="10" fillId="0" borderId="4" xfId="0" applyNumberFormat="1" applyFont="1" applyBorder="1" applyAlignment="1">
      <alignment horizontal="center" vertical="center"/>
    </xf>
    <xf numFmtId="49" fontId="0" fillId="0" borderId="4" xfId="0" quotePrefix="1" applyNumberFormat="1" applyBorder="1" applyAlignment="1">
      <alignment horizontal="center" vertical="center"/>
    </xf>
    <xf numFmtId="49" fontId="5" fillId="0" borderId="1" xfId="2" quotePrefix="1" applyNumberFormat="1" applyFont="1" applyFill="1" applyAlignment="1">
      <alignment horizontal="center" vertical="center"/>
    </xf>
    <xf numFmtId="49" fontId="0" fillId="0" borderId="1" xfId="3" applyNumberFormat="1" applyFont="1" applyFill="1" applyBorder="1" applyAlignment="1">
      <alignment horizontal="center" vertical="center"/>
    </xf>
    <xf numFmtId="49" fontId="9" fillId="7" borderId="1" xfId="0" applyNumberFormat="1" applyFont="1" applyFill="1" applyBorder="1" applyAlignment="1">
      <alignment horizontal="center" vertical="center"/>
    </xf>
    <xf numFmtId="49" fontId="9" fillId="7" borderId="1" xfId="0" applyNumberFormat="1" applyFont="1" applyFill="1" applyBorder="1" applyAlignment="1">
      <alignment horizontal="left" wrapText="1"/>
    </xf>
    <xf numFmtId="49" fontId="9" fillId="7" borderId="4" xfId="2" quotePrefix="1" applyNumberFormat="1" applyFont="1" applyFill="1" applyBorder="1" applyAlignment="1">
      <alignment horizontal="center" vertical="center"/>
    </xf>
    <xf numFmtId="49" fontId="9" fillId="0" borderId="4" xfId="2" quotePrefix="1" applyNumberFormat="1" applyFont="1" applyFill="1" applyBorder="1" applyAlignment="1">
      <alignment horizontal="center" vertical="center"/>
    </xf>
    <xf numFmtId="49" fontId="15" fillId="0" borderId="1" xfId="0" applyNumberFormat="1" applyFont="1" applyBorder="1" applyAlignment="1">
      <alignment horizontal="center" vertical="center"/>
    </xf>
    <xf numFmtId="49" fontId="9" fillId="7" borderId="1" xfId="2" quotePrefix="1" applyNumberFormat="1" applyFont="1" applyFill="1" applyAlignment="1">
      <alignment horizontal="center" vertical="center"/>
    </xf>
    <xf numFmtId="49" fontId="5" fillId="7" borderId="1" xfId="3" applyNumberFormat="1" applyFont="1" applyFill="1" applyBorder="1" applyAlignment="1">
      <alignment horizontal="center" vertical="center"/>
    </xf>
    <xf numFmtId="49" fontId="11" fillId="7" borderId="1" xfId="0" applyNumberFormat="1" applyFont="1" applyFill="1" applyBorder="1" applyAlignment="1">
      <alignment horizontal="left"/>
    </xf>
    <xf numFmtId="49" fontId="11" fillId="7" borderId="1" xfId="2" applyNumberFormat="1" applyFont="1" applyFill="1" applyAlignment="1">
      <alignment wrapText="1"/>
    </xf>
    <xf numFmtId="49" fontId="9" fillId="7" borderId="1" xfId="2" applyNumberFormat="1" applyFont="1" applyFill="1" applyAlignment="1">
      <alignment horizontal="left" vertical="center" wrapText="1"/>
    </xf>
    <xf numFmtId="49" fontId="0" fillId="7" borderId="1" xfId="3" applyNumberFormat="1" applyFont="1" applyFill="1" applyBorder="1" applyAlignment="1">
      <alignment wrapText="1"/>
    </xf>
    <xf numFmtId="49" fontId="0" fillId="7" borderId="1" xfId="3" applyNumberFormat="1" applyFont="1" applyFill="1" applyBorder="1" applyAlignment="1">
      <alignment horizontal="center" vertical="center"/>
    </xf>
    <xf numFmtId="49" fontId="15" fillId="0" borderId="0" xfId="0" applyNumberFormat="1" applyFont="1" applyAlignment="1">
      <alignment horizontal="center" vertical="center"/>
    </xf>
    <xf numFmtId="49" fontId="14" fillId="0" borderId="1" xfId="0" applyNumberFormat="1" applyFont="1" applyBorder="1" applyAlignment="1">
      <alignment horizontal="center" vertical="center"/>
    </xf>
    <xf numFmtId="49" fontId="14" fillId="0" borderId="0" xfId="0" applyNumberFormat="1" applyFont="1" applyAlignment="1">
      <alignment horizontal="center" vertical="center"/>
    </xf>
    <xf numFmtId="49" fontId="9" fillId="7" borderId="4" xfId="2" applyNumberFormat="1" applyFont="1" applyFill="1" applyBorder="1" applyAlignment="1">
      <alignment horizontal="center" vertical="center"/>
    </xf>
    <xf numFmtId="49" fontId="11" fillId="7" borderId="1" xfId="0" applyNumberFormat="1" applyFont="1" applyFill="1" applyBorder="1" applyAlignment="1">
      <alignment horizontal="left" vertical="top" wrapText="1"/>
    </xf>
    <xf numFmtId="49" fontId="9" fillId="7" borderId="1" xfId="0" applyNumberFormat="1" applyFont="1" applyFill="1" applyBorder="1" applyAlignment="1">
      <alignment wrapText="1"/>
    </xf>
    <xf numFmtId="0" fontId="9" fillId="7" borderId="1" xfId="0" applyFont="1" applyFill="1" applyBorder="1" applyAlignment="1">
      <alignment wrapText="1"/>
    </xf>
    <xf numFmtId="49" fontId="16" fillId="0" borderId="0" xfId="0" applyNumberFormat="1" applyFont="1" applyAlignment="1">
      <alignment wrapText="1"/>
    </xf>
    <xf numFmtId="49" fontId="0" fillId="0" borderId="1" xfId="0" quotePrefix="1" applyNumberFormat="1" applyBorder="1" applyAlignment="1">
      <alignment horizontal="center" vertical="center"/>
    </xf>
    <xf numFmtId="0" fontId="0" fillId="0" borderId="1" xfId="0" applyBorder="1" applyAlignment="1">
      <alignment wrapText="1"/>
    </xf>
    <xf numFmtId="0" fontId="0" fillId="0" borderId="1" xfId="0" applyBorder="1"/>
    <xf numFmtId="49" fontId="9" fillId="7" borderId="1" xfId="2" applyNumberFormat="1" applyFont="1" applyFill="1" applyAlignment="1">
      <alignment horizontal="left" wrapText="1"/>
    </xf>
    <xf numFmtId="49" fontId="0" fillId="0" borderId="1" xfId="2" quotePrefix="1" applyNumberFormat="1" applyFont="1" applyFill="1" applyAlignment="1">
      <alignment horizontal="center" vertical="center"/>
    </xf>
    <xf numFmtId="49" fontId="5" fillId="5" borderId="1" xfId="4" applyNumberFormat="1" applyFont="1" applyAlignment="1">
      <alignment horizontal="left" vertical="center"/>
    </xf>
    <xf numFmtId="0" fontId="24" fillId="0" borderId="0" xfId="0" applyFont="1"/>
    <xf numFmtId="0" fontId="25" fillId="0" borderId="0" xfId="0" applyFont="1"/>
    <xf numFmtId="0" fontId="26" fillId="0" borderId="0" xfId="0" applyFont="1"/>
    <xf numFmtId="0" fontId="30" fillId="0" borderId="0" xfId="0" applyFont="1"/>
    <xf numFmtId="0" fontId="30" fillId="0" borderId="0" xfId="0" applyFont="1" applyAlignment="1">
      <alignment vertical="center"/>
    </xf>
    <xf numFmtId="0" fontId="33" fillId="0" borderId="0" xfId="0" applyFont="1" applyAlignment="1">
      <alignment vertical="center"/>
    </xf>
    <xf numFmtId="0" fontId="30" fillId="0" borderId="0" xfId="0" applyFont="1" applyAlignment="1">
      <alignment horizontal="left" vertical="center" indent="8"/>
    </xf>
    <xf numFmtId="49" fontId="9" fillId="0" borderId="1" xfId="0" applyNumberFormat="1" applyFont="1" applyBorder="1" applyAlignment="1">
      <alignment horizontal="center" vertical="center"/>
    </xf>
    <xf numFmtId="49" fontId="38" fillId="0" borderId="1" xfId="0" applyNumberFormat="1" applyFont="1" applyBorder="1" applyAlignment="1">
      <alignment horizontal="center" vertical="center"/>
    </xf>
    <xf numFmtId="49" fontId="18" fillId="0" borderId="1" xfId="0" applyNumberFormat="1" applyFont="1" applyBorder="1" applyAlignment="1">
      <alignment horizontal="center" vertical="center"/>
    </xf>
    <xf numFmtId="49" fontId="38" fillId="7" borderId="1" xfId="2" applyNumberFormat="1" applyFont="1" applyFill="1" applyAlignment="1">
      <alignment horizontal="center" vertical="center"/>
    </xf>
    <xf numFmtId="49" fontId="18" fillId="0" borderId="1" xfId="2" applyNumberFormat="1" applyFont="1" applyFill="1" applyAlignment="1">
      <alignment horizontal="center" vertical="center"/>
    </xf>
    <xf numFmtId="49" fontId="38" fillId="7" borderId="1" xfId="0" applyNumberFormat="1" applyFont="1" applyFill="1" applyBorder="1" applyAlignment="1">
      <alignment horizontal="center" vertical="center"/>
    </xf>
    <xf numFmtId="49" fontId="18" fillId="0" borderId="4" xfId="0" applyNumberFormat="1" applyFont="1" applyBorder="1" applyAlignment="1">
      <alignment horizontal="center" vertical="center"/>
    </xf>
    <xf numFmtId="49" fontId="18" fillId="7" borderId="1" xfId="2" applyNumberFormat="1" applyFont="1" applyFill="1" applyAlignment="1">
      <alignment horizontal="center" vertical="center"/>
    </xf>
    <xf numFmtId="49" fontId="38" fillId="7" borderId="1" xfId="3" applyNumberFormat="1" applyFont="1" applyFill="1" applyBorder="1" applyAlignment="1">
      <alignment horizontal="center" vertical="center"/>
    </xf>
    <xf numFmtId="49" fontId="18" fillId="7" borderId="1" xfId="0" applyNumberFormat="1" applyFont="1" applyFill="1" applyBorder="1" applyAlignment="1">
      <alignment horizontal="center" vertical="center"/>
    </xf>
    <xf numFmtId="49" fontId="18" fillId="7" borderId="1" xfId="3" applyNumberFormat="1" applyFont="1" applyFill="1" applyBorder="1" applyAlignment="1">
      <alignment horizontal="center" vertical="center"/>
    </xf>
    <xf numFmtId="49" fontId="38" fillId="7" borderId="4" xfId="0" applyNumberFormat="1" applyFont="1" applyFill="1" applyBorder="1" applyAlignment="1">
      <alignment horizontal="center" vertical="center"/>
    </xf>
    <xf numFmtId="49" fontId="38" fillId="7" borderId="4" xfId="2" applyNumberFormat="1" applyFont="1" applyFill="1" applyBorder="1" applyAlignment="1">
      <alignment horizontal="center" vertical="center"/>
    </xf>
    <xf numFmtId="49" fontId="18" fillId="7" borderId="4" xfId="2" applyNumberFormat="1" applyFont="1" applyFill="1" applyBorder="1" applyAlignment="1">
      <alignment horizontal="center" vertical="center"/>
    </xf>
    <xf numFmtId="49" fontId="39" fillId="7" borderId="1" xfId="4" applyNumberFormat="1" applyFont="1" applyFill="1" applyAlignment="1">
      <alignment horizontal="center" vertical="center"/>
    </xf>
    <xf numFmtId="49" fontId="40" fillId="5" borderId="1" xfId="4" applyNumberFormat="1" applyFont="1" applyAlignment="1">
      <alignment horizontal="center" vertical="center"/>
    </xf>
    <xf numFmtId="49" fontId="18" fillId="5" borderId="1" xfId="4" applyNumberFormat="1" applyFont="1" applyAlignment="1">
      <alignment horizontal="center" vertical="center"/>
    </xf>
    <xf numFmtId="49" fontId="41" fillId="0" borderId="1" xfId="0" applyNumberFormat="1" applyFont="1" applyBorder="1" applyAlignment="1">
      <alignment horizontal="center" vertical="center"/>
    </xf>
    <xf numFmtId="49" fontId="38" fillId="5" borderId="1" xfId="4" applyNumberFormat="1" applyFont="1" applyAlignment="1">
      <alignment horizontal="center" vertical="center"/>
    </xf>
    <xf numFmtId="49" fontId="38" fillId="7" borderId="1" xfId="4" applyNumberFormat="1" applyFont="1" applyFill="1" applyAlignment="1">
      <alignment horizontal="center" vertical="center"/>
    </xf>
    <xf numFmtId="49" fontId="18" fillId="0" borderId="1" xfId="3" applyNumberFormat="1" applyFont="1" applyFill="1" applyBorder="1" applyAlignment="1">
      <alignment horizontal="center" vertical="center"/>
    </xf>
    <xf numFmtId="49" fontId="18" fillId="7" borderId="4" xfId="0" applyNumberFormat="1" applyFont="1" applyFill="1" applyBorder="1" applyAlignment="1">
      <alignment horizontal="center" vertical="center"/>
    </xf>
    <xf numFmtId="49" fontId="18" fillId="0" borderId="4" xfId="2" applyNumberFormat="1" applyFont="1" applyFill="1" applyBorder="1" applyAlignment="1">
      <alignment horizontal="center" vertical="center"/>
    </xf>
    <xf numFmtId="49" fontId="38" fillId="7" borderId="1" xfId="0" applyNumberFormat="1" applyFont="1" applyFill="1" applyBorder="1" applyAlignment="1">
      <alignment horizontal="center" vertical="center" wrapText="1"/>
    </xf>
    <xf numFmtId="49" fontId="18" fillId="7" borderId="1" xfId="0" applyNumberFormat="1" applyFont="1" applyFill="1" applyBorder="1" applyAlignment="1">
      <alignment horizontal="center" vertical="center" wrapText="1"/>
    </xf>
    <xf numFmtId="0" fontId="25" fillId="0" borderId="0" xfId="0" applyFont="1" applyAlignment="1">
      <alignment horizontal="center"/>
    </xf>
    <xf numFmtId="0" fontId="29" fillId="0" borderId="0" xfId="0" applyFont="1" applyAlignment="1">
      <alignment vertical="center" wrapText="1"/>
    </xf>
    <xf numFmtId="0" fontId="44" fillId="0" borderId="0" xfId="0" applyFont="1"/>
    <xf numFmtId="0" fontId="43" fillId="0" borderId="0" xfId="0" applyFont="1"/>
    <xf numFmtId="0" fontId="16" fillId="0" borderId="0" xfId="0" applyFont="1"/>
    <xf numFmtId="0" fontId="24" fillId="0" borderId="0" xfId="0" applyFont="1" applyAlignment="1">
      <alignment horizontal="left"/>
    </xf>
    <xf numFmtId="49" fontId="0" fillId="0" borderId="1" xfId="3" applyNumberFormat="1" applyFont="1" applyFill="1" applyBorder="1" applyAlignment="1">
      <alignment vertical="center" wrapText="1"/>
    </xf>
    <xf numFmtId="49" fontId="0" fillId="0" borderId="1" xfId="0" applyNumberFormat="1" applyBorder="1" applyAlignment="1">
      <alignment vertical="center" wrapText="1"/>
    </xf>
    <xf numFmtId="49" fontId="9" fillId="7" borderId="1" xfId="2" applyNumberFormat="1" applyFont="1" applyFill="1" applyAlignment="1">
      <alignment vertical="center" wrapText="1"/>
    </xf>
    <xf numFmtId="49" fontId="10" fillId="0" borderId="1" xfId="0" applyNumberFormat="1" applyFont="1" applyBorder="1" applyAlignment="1">
      <alignment vertical="center" wrapText="1"/>
    </xf>
    <xf numFmtId="49" fontId="0" fillId="0" borderId="1" xfId="2" applyNumberFormat="1" applyFont="1" applyFill="1" applyAlignment="1">
      <alignment vertical="center" wrapText="1"/>
    </xf>
    <xf numFmtId="49" fontId="9" fillId="7" borderId="1" xfId="0" applyNumberFormat="1" applyFont="1" applyFill="1" applyBorder="1" applyAlignment="1">
      <alignment vertical="center" wrapText="1"/>
    </xf>
    <xf numFmtId="49" fontId="0" fillId="0" borderId="2" xfId="0" applyNumberFormat="1" applyBorder="1" applyAlignment="1">
      <alignment horizontal="left" vertical="center" wrapText="1"/>
    </xf>
    <xf numFmtId="49" fontId="5" fillId="7" borderId="1" xfId="2" applyNumberFormat="1" applyFont="1" applyFill="1" applyAlignment="1">
      <alignment horizontal="center" vertical="center"/>
    </xf>
    <xf numFmtId="49" fontId="14" fillId="0" borderId="4" xfId="0" applyNumberFormat="1" applyFont="1" applyBorder="1" applyAlignment="1">
      <alignment horizontal="center" vertical="center"/>
    </xf>
    <xf numFmtId="49" fontId="0" fillId="10" borderId="1" xfId="3" applyNumberFormat="1" applyFont="1" applyFill="1" applyBorder="1" applyAlignment="1">
      <alignment horizontal="center" vertical="center"/>
    </xf>
    <xf numFmtId="49" fontId="0" fillId="10" borderId="1" xfId="3" applyNumberFormat="1" applyFont="1" applyFill="1" applyBorder="1" applyAlignment="1">
      <alignment wrapText="1"/>
    </xf>
    <xf numFmtId="49" fontId="0" fillId="10" borderId="1" xfId="0" applyNumberFormat="1" applyFill="1" applyBorder="1" applyAlignment="1">
      <alignment horizontal="left" wrapText="1"/>
    </xf>
    <xf numFmtId="49" fontId="18" fillId="10" borderId="1" xfId="0" applyNumberFormat="1" applyFont="1" applyFill="1" applyBorder="1" applyAlignment="1">
      <alignment horizontal="center" vertical="center"/>
    </xf>
    <xf numFmtId="49" fontId="10" fillId="10" borderId="1" xfId="0" applyNumberFormat="1" applyFont="1" applyFill="1" applyBorder="1" applyAlignment="1">
      <alignment horizontal="left" wrapText="1"/>
    </xf>
    <xf numFmtId="0" fontId="0" fillId="0" borderId="1" xfId="0" applyBorder="1" applyAlignment="1">
      <alignment vertical="center"/>
    </xf>
    <xf numFmtId="49" fontId="11" fillId="7" borderId="4" xfId="0" applyNumberFormat="1" applyFont="1" applyFill="1" applyBorder="1" applyAlignment="1">
      <alignment horizontal="left" vertical="center"/>
    </xf>
    <xf numFmtId="49" fontId="10" fillId="0" borderId="4" xfId="0" applyNumberFormat="1" applyFont="1" applyBorder="1" applyAlignment="1">
      <alignment vertical="center"/>
    </xf>
    <xf numFmtId="49" fontId="10" fillId="0" borderId="1" xfId="0" applyNumberFormat="1" applyFont="1" applyBorder="1" applyAlignment="1">
      <alignment vertical="center"/>
    </xf>
    <xf numFmtId="49" fontId="11" fillId="7" borderId="1" xfId="2" applyNumberFormat="1" applyFont="1" applyFill="1" applyAlignment="1">
      <alignment vertical="center"/>
    </xf>
    <xf numFmtId="49" fontId="11" fillId="7" borderId="1" xfId="0" applyNumberFormat="1" applyFont="1" applyFill="1" applyBorder="1" applyAlignment="1">
      <alignment vertical="center" wrapText="1"/>
    </xf>
    <xf numFmtId="49" fontId="11" fillId="7" borderId="1" xfId="0" applyNumberFormat="1" applyFont="1" applyFill="1" applyBorder="1" applyAlignment="1">
      <alignment horizontal="left" vertical="center"/>
    </xf>
    <xf numFmtId="49" fontId="9" fillId="7" borderId="1" xfId="2" applyNumberFormat="1" applyFont="1" applyFill="1" applyAlignment="1">
      <alignment horizontal="left" vertical="center"/>
    </xf>
    <xf numFmtId="49" fontId="9" fillId="7" borderId="1" xfId="2" applyNumberFormat="1" applyFont="1" applyFill="1" applyAlignment="1">
      <alignment vertical="center"/>
    </xf>
    <xf numFmtId="49" fontId="0" fillId="7" borderId="1" xfId="3" applyNumberFormat="1" applyFont="1" applyFill="1" applyBorder="1" applyAlignment="1">
      <alignment vertical="center"/>
    </xf>
    <xf numFmtId="49" fontId="0" fillId="0" borderId="1" xfId="0" applyNumberFormat="1" applyBorder="1" applyAlignment="1">
      <alignment horizontal="left" vertical="center"/>
    </xf>
    <xf numFmtId="49" fontId="5" fillId="7" borderId="1" xfId="3" applyNumberFormat="1" applyFont="1" applyFill="1" applyBorder="1" applyAlignment="1">
      <alignment vertical="center"/>
    </xf>
    <xf numFmtId="49" fontId="0" fillId="0" borderId="1" xfId="0" applyNumberFormat="1" applyBorder="1" applyAlignment="1">
      <alignment vertical="center"/>
    </xf>
    <xf numFmtId="49" fontId="0" fillId="0" borderId="1" xfId="3" applyNumberFormat="1" applyFont="1" applyFill="1" applyBorder="1" applyAlignment="1">
      <alignment vertical="center"/>
    </xf>
    <xf numFmtId="49" fontId="10" fillId="0" borderId="1" xfId="0" applyNumberFormat="1" applyFont="1" applyBorder="1" applyAlignment="1">
      <alignment horizontal="center" vertical="center" wrapText="1"/>
    </xf>
    <xf numFmtId="49" fontId="11" fillId="7" borderId="4" xfId="0" applyNumberFormat="1" applyFont="1" applyFill="1" applyBorder="1" applyAlignment="1">
      <alignment horizontal="left" vertical="center" wrapText="1"/>
    </xf>
    <xf numFmtId="49" fontId="0" fillId="0" borderId="4" xfId="0" applyNumberFormat="1" applyBorder="1" applyAlignment="1">
      <alignment horizontal="left" vertical="center" wrapText="1"/>
    </xf>
    <xf numFmtId="49" fontId="9" fillId="7" borderId="1" xfId="0" applyNumberFormat="1" applyFont="1" applyFill="1" applyBorder="1" applyAlignment="1">
      <alignment horizontal="left" vertical="center" wrapText="1"/>
    </xf>
    <xf numFmtId="49" fontId="0" fillId="7" borderId="1" xfId="0" applyNumberFormat="1" applyFill="1" applyBorder="1" applyAlignment="1">
      <alignment horizontal="left" vertical="center" wrapText="1"/>
    </xf>
    <xf numFmtId="49" fontId="10" fillId="0" borderId="4" xfId="0" applyNumberFormat="1" applyFont="1" applyBorder="1" applyAlignment="1">
      <alignment horizontal="left" vertical="center" wrapText="1"/>
    </xf>
    <xf numFmtId="49" fontId="0" fillId="0" borderId="4" xfId="0" applyNumberFormat="1" applyBorder="1" applyAlignment="1">
      <alignment vertical="center" wrapText="1"/>
    </xf>
    <xf numFmtId="49" fontId="9" fillId="7" borderId="4" xfId="2" applyNumberFormat="1" applyFont="1" applyFill="1" applyBorder="1" applyAlignment="1">
      <alignment vertical="center" wrapText="1"/>
    </xf>
    <xf numFmtId="49" fontId="0" fillId="0" borderId="4" xfId="2" applyNumberFormat="1" applyFont="1" applyFill="1" applyBorder="1" applyAlignment="1">
      <alignment vertical="center" wrapText="1"/>
    </xf>
    <xf numFmtId="49" fontId="5" fillId="0" borderId="1" xfId="3" applyNumberFormat="1" applyFont="1" applyFill="1" applyBorder="1" applyAlignment="1">
      <alignment vertical="center"/>
    </xf>
    <xf numFmtId="49" fontId="11" fillId="7" borderId="1" xfId="2" applyNumberFormat="1" applyFont="1" applyFill="1" applyAlignment="1">
      <alignment vertical="center" wrapText="1"/>
    </xf>
    <xf numFmtId="49" fontId="11" fillId="7" borderId="1" xfId="2" applyNumberFormat="1" applyFont="1" applyFill="1" applyAlignment="1">
      <alignment horizontal="left" vertical="center" wrapText="1"/>
    </xf>
    <xf numFmtId="49" fontId="11" fillId="7" borderId="1" xfId="0" applyNumberFormat="1" applyFont="1" applyFill="1" applyBorder="1" applyAlignment="1">
      <alignment horizontal="left" vertical="center" wrapText="1"/>
    </xf>
    <xf numFmtId="0" fontId="9" fillId="7" borderId="1" xfId="0" applyFont="1" applyFill="1" applyBorder="1" applyAlignment="1">
      <alignment vertical="center" wrapText="1"/>
    </xf>
    <xf numFmtId="49" fontId="0" fillId="0" borderId="1" xfId="2" applyNumberFormat="1" applyFont="1" applyFill="1" applyAlignment="1">
      <alignment horizontal="center" vertical="center"/>
    </xf>
    <xf numFmtId="0" fontId="0" fillId="0" borderId="1" xfId="0" applyBorder="1" applyAlignment="1">
      <alignment vertical="center" wrapText="1"/>
    </xf>
    <xf numFmtId="49" fontId="17" fillId="0" borderId="1" xfId="0" applyNumberFormat="1" applyFont="1" applyBorder="1" applyAlignment="1">
      <alignment horizontal="center" vertical="center"/>
    </xf>
    <xf numFmtId="49" fontId="9" fillId="7" borderId="4" xfId="2" applyNumberFormat="1" applyFont="1" applyFill="1" applyBorder="1" applyAlignment="1">
      <alignment vertical="center"/>
    </xf>
    <xf numFmtId="49" fontId="0" fillId="4" borderId="1" xfId="3" applyNumberFormat="1" applyFont="1" applyBorder="1" applyAlignment="1">
      <alignment horizontal="center" vertical="center"/>
    </xf>
    <xf numFmtId="49" fontId="14" fillId="0" borderId="1" xfId="0" applyNumberFormat="1" applyFont="1" applyBorder="1" applyAlignment="1">
      <alignment horizontal="left" vertical="center" wrapText="1"/>
    </xf>
    <xf numFmtId="49" fontId="9" fillId="6" borderId="1" xfId="2" applyNumberFormat="1" applyFont="1" applyAlignment="1">
      <alignment horizontal="center" vertical="center"/>
    </xf>
    <xf numFmtId="49" fontId="0" fillId="7" borderId="1" xfId="3" quotePrefix="1" applyNumberFormat="1" applyFont="1" applyFill="1" applyBorder="1" applyAlignment="1">
      <alignment horizontal="center" vertical="center"/>
    </xf>
    <xf numFmtId="49" fontId="5" fillId="5" borderId="1" xfId="4" applyNumberFormat="1" applyFont="1" applyAlignment="1">
      <alignment horizontal="center" vertical="center"/>
    </xf>
    <xf numFmtId="49" fontId="12" fillId="7" borderId="1" xfId="4" applyNumberFormat="1" applyFont="1" applyFill="1" applyAlignment="1">
      <alignment horizontal="center" vertical="center"/>
    </xf>
    <xf numFmtId="49" fontId="12" fillId="7" borderId="1" xfId="4" applyNumberFormat="1" applyFont="1" applyFill="1" applyAlignment="1">
      <alignment vertical="center"/>
    </xf>
    <xf numFmtId="49" fontId="9" fillId="7" borderId="4" xfId="2" applyNumberFormat="1" applyFont="1" applyFill="1" applyBorder="1" applyAlignment="1">
      <alignment horizontal="left" vertical="center"/>
    </xf>
    <xf numFmtId="49" fontId="12" fillId="5" borderId="1" xfId="4" applyNumberFormat="1" applyFont="1" applyAlignment="1">
      <alignment horizontal="center" vertical="center"/>
    </xf>
    <xf numFmtId="49" fontId="12" fillId="5" borderId="1" xfId="4" applyNumberFormat="1" applyFont="1" applyAlignment="1">
      <alignment horizontal="left" vertical="center"/>
    </xf>
    <xf numFmtId="49" fontId="12" fillId="5" borderId="1" xfId="4" applyNumberFormat="1" applyFont="1" applyAlignment="1">
      <alignment vertical="center"/>
    </xf>
    <xf numFmtId="49" fontId="16" fillId="0" borderId="1" xfId="0" applyNumberFormat="1" applyFont="1" applyBorder="1" applyAlignment="1">
      <alignment horizontal="center" vertical="center"/>
    </xf>
    <xf numFmtId="49" fontId="10" fillId="0" borderId="1" xfId="0" quotePrefix="1" applyNumberFormat="1" applyFont="1" applyBorder="1" applyAlignment="1">
      <alignment horizontal="center" vertical="center"/>
    </xf>
    <xf numFmtId="49" fontId="0" fillId="0" borderId="7" xfId="0" applyNumberFormat="1" applyBorder="1" applyAlignment="1">
      <alignment horizontal="center" vertical="center"/>
    </xf>
    <xf numFmtId="49" fontId="0" fillId="0" borderId="1" xfId="0" applyNumberFormat="1" applyBorder="1" applyAlignment="1">
      <alignment horizontal="left"/>
    </xf>
    <xf numFmtId="49" fontId="0" fillId="0" borderId="1" xfId="0" applyNumberFormat="1" applyBorder="1"/>
    <xf numFmtId="49" fontId="0" fillId="0" borderId="3" xfId="0" applyNumberFormat="1" applyBorder="1" applyAlignment="1">
      <alignment vertical="center" wrapText="1"/>
    </xf>
    <xf numFmtId="49" fontId="0" fillId="0" borderId="1" xfId="0" applyNumberFormat="1" applyBorder="1" applyAlignment="1">
      <alignment vertical="top" wrapText="1"/>
    </xf>
    <xf numFmtId="49" fontId="9" fillId="7" borderId="1" xfId="2" quotePrefix="1" applyNumberFormat="1" applyFont="1" applyFill="1" applyAlignment="1">
      <alignment horizontal="center"/>
    </xf>
    <xf numFmtId="49" fontId="0" fillId="7" borderId="1" xfId="2" applyNumberFormat="1" applyFont="1" applyFill="1" applyAlignment="1">
      <alignment horizontal="left" vertical="center" wrapText="1"/>
    </xf>
    <xf numFmtId="49" fontId="9" fillId="7" borderId="1" xfId="2" applyNumberFormat="1" applyFont="1" applyFill="1" applyAlignment="1">
      <alignment horizontal="center" vertical="center" wrapText="1"/>
    </xf>
    <xf numFmtId="49" fontId="38" fillId="0" borderId="1" xfId="2" applyNumberFormat="1" applyFont="1" applyFill="1" applyAlignment="1">
      <alignment horizontal="center" vertical="center"/>
    </xf>
    <xf numFmtId="49" fontId="38" fillId="0" borderId="1" xfId="3" applyNumberFormat="1" applyFont="1" applyFill="1" applyBorder="1" applyAlignment="1">
      <alignment horizontal="center" vertical="center"/>
    </xf>
    <xf numFmtId="49" fontId="38" fillId="0" borderId="4" xfId="0" applyNumberFormat="1" applyFont="1" applyBorder="1" applyAlignment="1">
      <alignment horizontal="center" vertical="center"/>
    </xf>
    <xf numFmtId="49" fontId="9" fillId="0" borderId="4" xfId="0" applyNumberFormat="1" applyFont="1" applyBorder="1" applyAlignment="1">
      <alignment horizontal="center" vertical="center"/>
    </xf>
    <xf numFmtId="49" fontId="11" fillId="0" borderId="1" xfId="0" applyNumberFormat="1" applyFont="1" applyBorder="1" applyAlignment="1">
      <alignment horizontal="center" vertical="center"/>
    </xf>
    <xf numFmtId="49" fontId="38" fillId="0" borderId="4" xfId="2" applyNumberFormat="1" applyFont="1" applyFill="1" applyBorder="1" applyAlignment="1">
      <alignment horizontal="center" vertical="center"/>
    </xf>
    <xf numFmtId="49" fontId="38" fillId="0" borderId="1" xfId="0" applyNumberFormat="1" applyFont="1" applyBorder="1" applyAlignment="1">
      <alignment horizontal="center" vertical="center" wrapText="1"/>
    </xf>
    <xf numFmtId="49" fontId="18" fillId="0" borderId="1" xfId="0" applyNumberFormat="1" applyFont="1" applyBorder="1" applyAlignment="1">
      <alignment horizontal="center" vertical="center" wrapText="1"/>
    </xf>
    <xf numFmtId="49" fontId="11" fillId="0" borderId="1" xfId="2" applyNumberFormat="1" applyFont="1" applyFill="1" applyAlignment="1">
      <alignment horizontal="center" vertical="center"/>
    </xf>
    <xf numFmtId="49" fontId="0" fillId="11" borderId="1" xfId="0" applyNumberFormat="1" applyFill="1" applyBorder="1" applyAlignment="1">
      <alignment horizontal="center" vertical="center"/>
    </xf>
    <xf numFmtId="49" fontId="0" fillId="11" borderId="1" xfId="0" applyNumberFormat="1" applyFill="1" applyBorder="1" applyAlignment="1">
      <alignment vertical="center"/>
    </xf>
    <xf numFmtId="49" fontId="10" fillId="11" borderId="1" xfId="0" applyNumberFormat="1" applyFont="1" applyFill="1" applyBorder="1" applyAlignment="1">
      <alignment vertical="center"/>
    </xf>
    <xf numFmtId="49" fontId="38" fillId="11" borderId="1" xfId="0" applyNumberFormat="1" applyFont="1" applyFill="1" applyBorder="1" applyAlignment="1">
      <alignment horizontal="center" vertical="center"/>
    </xf>
    <xf numFmtId="49" fontId="18" fillId="11" borderId="1" xfId="0" applyNumberFormat="1" applyFont="1" applyFill="1" applyBorder="1" applyAlignment="1">
      <alignment horizontal="center" vertical="center"/>
    </xf>
    <xf numFmtId="0" fontId="44" fillId="9" borderId="0" xfId="0" applyFont="1" applyFill="1"/>
    <xf numFmtId="14" fontId="44" fillId="0" borderId="0" xfId="0" applyNumberFormat="1" applyFont="1"/>
    <xf numFmtId="0" fontId="10" fillId="0" borderId="0" xfId="0" applyFont="1"/>
    <xf numFmtId="49" fontId="0" fillId="0" borderId="4" xfId="0" applyNumberFormat="1" applyBorder="1" applyAlignment="1">
      <alignment horizontal="center" vertical="center" wrapText="1"/>
    </xf>
    <xf numFmtId="49" fontId="0" fillId="7" borderId="1" xfId="0" applyNumberFormat="1" applyFont="1" applyFill="1" applyBorder="1" applyAlignment="1">
      <alignment horizontal="center" vertical="center"/>
    </xf>
    <xf numFmtId="49" fontId="11" fillId="7" borderId="1" xfId="3" applyNumberFormat="1" applyFont="1" applyFill="1" applyBorder="1" applyAlignment="1">
      <alignment horizontal="center" vertical="center"/>
    </xf>
    <xf numFmtId="49" fontId="11" fillId="0" borderId="1" xfId="3" applyNumberFormat="1" applyFont="1" applyFill="1" applyBorder="1" applyAlignment="1">
      <alignment horizontal="center" vertical="center"/>
    </xf>
    <xf numFmtId="49" fontId="11" fillId="0" borderId="4" xfId="0" applyNumberFormat="1" applyFont="1" applyBorder="1" applyAlignment="1">
      <alignment horizontal="center" vertical="center"/>
    </xf>
    <xf numFmtId="49" fontId="10" fillId="7" borderId="1" xfId="2" applyNumberFormat="1" applyFont="1" applyFill="1" applyAlignment="1">
      <alignment horizontal="center" vertical="center"/>
    </xf>
    <xf numFmtId="49" fontId="10" fillId="7" borderId="1" xfId="0" applyNumberFormat="1" applyFont="1" applyFill="1" applyBorder="1" applyAlignment="1">
      <alignment horizontal="center" vertical="center"/>
    </xf>
    <xf numFmtId="49" fontId="11" fillId="7" borderId="1" xfId="2" applyNumberFormat="1" applyFont="1" applyFill="1" applyAlignment="1">
      <alignment horizontal="center" vertical="center" wrapText="1"/>
    </xf>
    <xf numFmtId="49" fontId="10" fillId="7" borderId="1" xfId="3" applyNumberFormat="1" applyFont="1" applyFill="1" applyBorder="1" applyAlignment="1">
      <alignment horizontal="center" vertical="center" wrapText="1"/>
    </xf>
    <xf numFmtId="49" fontId="10" fillId="0" borderId="1" xfId="3" applyNumberFormat="1" applyFont="1" applyFill="1" applyBorder="1" applyAlignment="1">
      <alignment horizontal="center" vertical="center" wrapText="1"/>
    </xf>
    <xf numFmtId="49" fontId="0" fillId="0" borderId="1" xfId="0" applyNumberFormat="1" applyBorder="1" applyAlignment="1">
      <alignment horizontal="center" vertical="center" wrapText="1"/>
    </xf>
    <xf numFmtId="49" fontId="5" fillId="7" borderId="1" xfId="3" applyNumberFormat="1" applyFont="1" applyFill="1" applyBorder="1" applyAlignment="1">
      <alignment horizontal="center" vertical="center" wrapText="1"/>
    </xf>
    <xf numFmtId="49" fontId="5" fillId="0" borderId="1" xfId="3" applyNumberFormat="1" applyFont="1" applyFill="1" applyBorder="1" applyAlignment="1">
      <alignment horizontal="center" vertical="center" wrapText="1"/>
    </xf>
    <xf numFmtId="49" fontId="10" fillId="7" borderId="1" xfId="0" applyNumberFormat="1" applyFont="1" applyFill="1" applyBorder="1" applyAlignment="1">
      <alignment horizontal="center" vertical="center" wrapText="1"/>
    </xf>
    <xf numFmtId="49" fontId="10" fillId="0" borderId="4" xfId="0" applyNumberFormat="1" applyFont="1" applyBorder="1" applyAlignment="1">
      <alignment horizontal="center" vertical="center" wrapText="1"/>
    </xf>
    <xf numFmtId="49" fontId="0" fillId="7" borderId="1" xfId="0" applyNumberFormat="1" applyFill="1" applyBorder="1" applyAlignment="1">
      <alignment horizontal="center" vertical="center" wrapText="1"/>
    </xf>
    <xf numFmtId="49" fontId="11" fillId="7" borderId="4" xfId="0" applyNumberFormat="1" applyFont="1" applyFill="1" applyBorder="1" applyAlignment="1">
      <alignment horizontal="center" vertical="center" wrapText="1"/>
    </xf>
    <xf numFmtId="49" fontId="10" fillId="7" borderId="1" xfId="2" applyNumberFormat="1" applyFont="1" applyFill="1" applyAlignment="1">
      <alignment horizontal="center" vertical="center" wrapText="1"/>
    </xf>
    <xf numFmtId="49" fontId="11" fillId="0" borderId="4" xfId="0" applyNumberFormat="1" applyFont="1" applyBorder="1" applyAlignment="1">
      <alignment horizontal="center" vertical="center" wrapText="1"/>
    </xf>
    <xf numFmtId="49" fontId="11" fillId="0" borderId="1" xfId="0" applyNumberFormat="1" applyFont="1" applyBorder="1" applyAlignment="1">
      <alignment horizontal="center" vertical="center" wrapText="1"/>
    </xf>
    <xf numFmtId="49" fontId="11" fillId="7" borderId="1" xfId="0" applyNumberFormat="1" applyFont="1" applyFill="1" applyBorder="1" applyAlignment="1">
      <alignment horizontal="center" vertical="center" wrapText="1"/>
    </xf>
    <xf numFmtId="49" fontId="11" fillId="7" borderId="1" xfId="3" applyNumberFormat="1" applyFont="1" applyFill="1" applyBorder="1" applyAlignment="1">
      <alignment horizontal="center" vertical="center" wrapText="1"/>
    </xf>
    <xf numFmtId="49" fontId="5" fillId="0" borderId="1" xfId="2" applyNumberFormat="1" applyFont="1" applyFill="1" applyAlignment="1">
      <alignment horizontal="center" vertical="center" wrapText="1"/>
    </xf>
    <xf numFmtId="49" fontId="9" fillId="7" borderId="1" xfId="0" applyNumberFormat="1" applyFont="1" applyFill="1" applyBorder="1" applyAlignment="1">
      <alignment horizontal="center" vertical="center" wrapText="1"/>
    </xf>
    <xf numFmtId="49" fontId="16" fillId="0" borderId="1" xfId="0" applyNumberFormat="1" applyFont="1" applyBorder="1" applyAlignment="1">
      <alignment horizontal="center" vertical="center" wrapText="1"/>
    </xf>
    <xf numFmtId="49" fontId="0" fillId="7" borderId="4" xfId="0" applyNumberFormat="1" applyFont="1" applyFill="1" applyBorder="1" applyAlignment="1">
      <alignment horizontal="center" vertical="center" wrapText="1"/>
    </xf>
    <xf numFmtId="49" fontId="0" fillId="0" borderId="4" xfId="0" applyNumberFormat="1" applyFont="1" applyBorder="1" applyAlignment="1">
      <alignment horizontal="center" vertical="center" wrapText="1"/>
    </xf>
    <xf numFmtId="49" fontId="5" fillId="7" borderId="1" xfId="2" applyNumberFormat="1" applyFont="1" applyFill="1" applyAlignment="1">
      <alignment horizontal="center" vertical="center" wrapText="1"/>
    </xf>
    <xf numFmtId="49" fontId="0" fillId="0" borderId="1" xfId="0" applyNumberFormat="1" applyFont="1" applyBorder="1" applyAlignment="1">
      <alignment horizontal="center" vertical="center" wrapText="1"/>
    </xf>
    <xf numFmtId="49" fontId="0" fillId="7" borderId="1" xfId="0" applyNumberFormat="1" applyFont="1" applyFill="1" applyBorder="1" applyAlignment="1">
      <alignment horizontal="center" vertical="center" wrapText="1"/>
    </xf>
    <xf numFmtId="49" fontId="9" fillId="0" borderId="1" xfId="2" applyNumberFormat="1" applyFont="1" applyFill="1" applyAlignment="1">
      <alignment horizontal="center" vertical="center" wrapText="1"/>
    </xf>
    <xf numFmtId="49" fontId="48" fillId="7" borderId="4" xfId="1" applyNumberFormat="1" applyFont="1" applyFill="1" applyBorder="1" applyAlignment="1">
      <alignment horizontal="center" vertical="center" wrapText="1"/>
    </xf>
    <xf numFmtId="49" fontId="48" fillId="0" borderId="4" xfId="1" applyNumberFormat="1" applyFont="1" applyFill="1" applyBorder="1" applyAlignment="1">
      <alignment horizontal="center" vertical="center" wrapText="1"/>
    </xf>
    <xf numFmtId="49" fontId="48" fillId="0" borderId="1" xfId="1" applyNumberFormat="1" applyFont="1" applyFill="1" applyBorder="1" applyAlignment="1">
      <alignment horizontal="center" vertical="center" wrapText="1"/>
    </xf>
    <xf numFmtId="49" fontId="5" fillId="7" borderId="4" xfId="2" applyNumberFormat="1" applyFont="1" applyFill="1" applyBorder="1" applyAlignment="1">
      <alignment horizontal="center" vertical="center"/>
    </xf>
    <xf numFmtId="49" fontId="11" fillId="7" borderId="4" xfId="2" applyNumberFormat="1" applyFont="1" applyFill="1" applyBorder="1" applyAlignment="1">
      <alignment horizontal="center" vertical="center"/>
    </xf>
    <xf numFmtId="49" fontId="11" fillId="0" borderId="4" xfId="2" applyNumberFormat="1" applyFont="1" applyFill="1" applyBorder="1" applyAlignment="1">
      <alignment horizontal="center" vertical="center"/>
    </xf>
    <xf numFmtId="49" fontId="11" fillId="11" borderId="1" xfId="0" applyNumberFormat="1" applyFont="1" applyFill="1" applyBorder="1" applyAlignment="1">
      <alignment horizontal="center" vertical="center"/>
    </xf>
    <xf numFmtId="49" fontId="10" fillId="7" borderId="1" xfId="3" applyNumberFormat="1" applyFont="1" applyFill="1" applyBorder="1" applyAlignment="1">
      <alignment horizontal="center" vertical="center"/>
    </xf>
    <xf numFmtId="49" fontId="0" fillId="11" borderId="1" xfId="0" applyNumberFormat="1" applyFont="1" applyFill="1" applyBorder="1" applyAlignment="1">
      <alignment horizontal="center" vertical="center" wrapText="1"/>
    </xf>
    <xf numFmtId="49" fontId="10" fillId="0" borderId="1" xfId="2" applyNumberFormat="1" applyFont="1" applyFill="1" applyAlignment="1">
      <alignment horizontal="center" vertical="center" wrapText="1"/>
    </xf>
    <xf numFmtId="49" fontId="0" fillId="7" borderId="4" xfId="0" applyNumberFormat="1" applyFill="1" applyBorder="1" applyAlignment="1">
      <alignment horizontal="center" vertical="center" wrapText="1"/>
    </xf>
    <xf numFmtId="49" fontId="9" fillId="7" borderId="4" xfId="2" applyNumberFormat="1" applyFont="1" applyFill="1" applyBorder="1" applyAlignment="1">
      <alignment horizontal="center" vertical="center" wrapText="1"/>
    </xf>
    <xf numFmtId="49" fontId="38" fillId="0" borderId="1" xfId="0" applyNumberFormat="1" applyFont="1" applyBorder="1" applyAlignment="1">
      <alignment vertical="center" wrapText="1"/>
    </xf>
    <xf numFmtId="49" fontId="18" fillId="0" borderId="1" xfId="0" applyNumberFormat="1" applyFont="1" applyBorder="1" applyAlignment="1">
      <alignment vertical="center" wrapText="1"/>
    </xf>
    <xf numFmtId="49" fontId="0" fillId="10" borderId="1" xfId="0" applyNumberFormat="1" applyFill="1" applyBorder="1" applyAlignment="1">
      <alignment horizontal="center" vertical="center" wrapText="1"/>
    </xf>
    <xf numFmtId="49" fontId="0" fillId="0" borderId="1" xfId="0" applyNumberFormat="1" applyFont="1" applyBorder="1" applyAlignment="1">
      <alignment vertical="center" wrapText="1"/>
    </xf>
    <xf numFmtId="49" fontId="18" fillId="10" borderId="1" xfId="0" applyNumberFormat="1" applyFont="1" applyFill="1" applyBorder="1" applyAlignment="1">
      <alignment vertical="center" wrapText="1"/>
    </xf>
    <xf numFmtId="49" fontId="38" fillId="10" borderId="1" xfId="0" applyNumberFormat="1" applyFont="1" applyFill="1" applyBorder="1" applyAlignment="1">
      <alignment vertical="center" wrapText="1"/>
    </xf>
    <xf numFmtId="49" fontId="11" fillId="10" borderId="1" xfId="0" applyNumberFormat="1" applyFont="1" applyFill="1" applyBorder="1" applyAlignment="1">
      <alignment vertical="center" wrapText="1"/>
    </xf>
    <xf numFmtId="49" fontId="11" fillId="0" borderId="1" xfId="0" applyNumberFormat="1" applyFont="1" applyBorder="1" applyAlignment="1">
      <alignment vertical="center" wrapText="1"/>
    </xf>
    <xf numFmtId="49" fontId="38" fillId="7" borderId="1" xfId="2" applyNumberFormat="1" applyFont="1" applyFill="1" applyAlignment="1">
      <alignment horizontal="center" vertical="center" wrapText="1"/>
    </xf>
    <xf numFmtId="49" fontId="18" fillId="7" borderId="1" xfId="2" applyNumberFormat="1" applyFont="1" applyFill="1" applyAlignment="1">
      <alignment horizontal="center" vertical="center" wrapText="1"/>
    </xf>
    <xf numFmtId="49" fontId="10" fillId="7" borderId="4" xfId="2" applyNumberFormat="1" applyFont="1" applyFill="1" applyBorder="1" applyAlignment="1">
      <alignment horizontal="center" vertical="center" wrapText="1"/>
    </xf>
    <xf numFmtId="49" fontId="10" fillId="7" borderId="4" xfId="2" applyNumberFormat="1" applyFont="1" applyFill="1" applyBorder="1" applyAlignment="1">
      <alignment horizontal="center" vertical="center"/>
    </xf>
    <xf numFmtId="49" fontId="46" fillId="7" borderId="1" xfId="4" applyNumberFormat="1" applyFont="1" applyFill="1" applyAlignment="1">
      <alignment horizontal="center" vertical="center"/>
    </xf>
    <xf numFmtId="49" fontId="0" fillId="0" borderId="1" xfId="0" applyNumberFormat="1" applyFont="1" applyBorder="1" applyAlignment="1">
      <alignment vertical="center"/>
    </xf>
    <xf numFmtId="49" fontId="47" fillId="5" borderId="1" xfId="4" applyNumberFormat="1" applyFont="1" applyAlignment="1">
      <alignment horizontal="center" vertical="center" wrapText="1"/>
    </xf>
    <xf numFmtId="49" fontId="46" fillId="5" borderId="1" xfId="4" applyNumberFormat="1" applyFont="1" applyAlignment="1">
      <alignment horizontal="center" vertical="center" wrapText="1"/>
    </xf>
    <xf numFmtId="49" fontId="0" fillId="0" borderId="1" xfId="0" applyNumberFormat="1" applyFont="1" applyBorder="1" applyAlignment="1">
      <alignment horizontal="left" vertical="center"/>
    </xf>
    <xf numFmtId="49" fontId="47" fillId="7" borderId="1" xfId="4" applyNumberFormat="1" applyFont="1" applyFill="1" applyAlignment="1">
      <alignment horizontal="center" vertical="center" wrapText="1"/>
    </xf>
    <xf numFmtId="49" fontId="18" fillId="7" borderId="1" xfId="4" applyNumberFormat="1" applyFont="1" applyFill="1" applyAlignment="1">
      <alignment horizontal="center" vertical="center"/>
    </xf>
    <xf numFmtId="49" fontId="47" fillId="5" borderId="1" xfId="4" applyNumberFormat="1" applyFont="1" applyAlignment="1">
      <alignment horizontal="center" vertical="center"/>
    </xf>
    <xf numFmtId="49" fontId="46" fillId="5" borderId="1" xfId="4" applyNumberFormat="1" applyFont="1" applyAlignment="1">
      <alignment horizontal="center" vertical="center"/>
    </xf>
    <xf numFmtId="49" fontId="11" fillId="0" borderId="0" xfId="0" applyNumberFormat="1" applyFont="1"/>
    <xf numFmtId="49" fontId="0" fillId="0" borderId="4" xfId="0" applyNumberFormat="1" applyFont="1" applyBorder="1" applyAlignment="1">
      <alignment vertical="center" wrapText="1"/>
    </xf>
    <xf numFmtId="49" fontId="42" fillId="0" borderId="1" xfId="0" applyNumberFormat="1" applyFont="1" applyBorder="1" applyAlignment="1">
      <alignment horizontal="center" vertical="center"/>
    </xf>
    <xf numFmtId="49" fontId="39" fillId="5" borderId="1" xfId="4" applyNumberFormat="1" applyFont="1" applyAlignment="1">
      <alignment horizontal="center" vertical="center"/>
    </xf>
    <xf numFmtId="49" fontId="5" fillId="7" borderId="1" xfId="2" applyNumberFormat="1" applyFont="1" applyFill="1" applyBorder="1" applyAlignment="1">
      <alignment horizontal="center" vertical="center"/>
    </xf>
    <xf numFmtId="0" fontId="24" fillId="0" borderId="0" xfId="0" applyFont="1" applyAlignment="1">
      <alignment horizontal="left"/>
    </xf>
    <xf numFmtId="0" fontId="0" fillId="10" borderId="0" xfId="0" applyFill="1" applyAlignment="1">
      <alignment horizontal="center"/>
    </xf>
    <xf numFmtId="0" fontId="24" fillId="10" borderId="0" xfId="0" applyFont="1" applyFill="1" applyAlignment="1">
      <alignment horizontal="center"/>
    </xf>
    <xf numFmtId="0" fontId="27" fillId="8" borderId="0" xfId="0" applyFont="1" applyFill="1" applyAlignment="1">
      <alignment horizontal="center" wrapText="1"/>
    </xf>
    <xf numFmtId="0" fontId="27" fillId="0" borderId="0" xfId="0" applyFont="1" applyAlignment="1">
      <alignment horizontal="center" wrapText="1"/>
    </xf>
    <xf numFmtId="0" fontId="28" fillId="11" borderId="0" xfId="0" applyFont="1" applyFill="1" applyAlignment="1">
      <alignment horizontal="center" vertical="center" wrapText="1"/>
    </xf>
    <xf numFmtId="0" fontId="28" fillId="11" borderId="0" xfId="0" applyFont="1" applyFill="1" applyAlignment="1">
      <alignment horizontal="center" vertical="center"/>
    </xf>
    <xf numFmtId="0" fontId="44" fillId="9" borderId="0" xfId="0" applyFont="1" applyFill="1" applyAlignment="1">
      <alignment horizontal="left"/>
    </xf>
    <xf numFmtId="0" fontId="44" fillId="0" borderId="0" xfId="0" applyFont="1" applyAlignment="1">
      <alignment horizontal="left"/>
    </xf>
    <xf numFmtId="14" fontId="24" fillId="10" borderId="0" xfId="0" applyNumberFormat="1" applyFont="1" applyFill="1" applyAlignment="1">
      <alignment horizontal="center"/>
    </xf>
    <xf numFmtId="0" fontId="30" fillId="0" borderId="0" xfId="0" applyFont="1" applyAlignment="1">
      <alignment horizontal="left"/>
    </xf>
    <xf numFmtId="0" fontId="30" fillId="0" borderId="0" xfId="0" applyFont="1" applyAlignment="1">
      <alignment horizontal="left" vertical="center" wrapText="1"/>
    </xf>
    <xf numFmtId="0" fontId="30" fillId="0" borderId="0" xfId="0" applyFont="1" applyAlignment="1">
      <alignment horizontal="left" wrapText="1"/>
    </xf>
    <xf numFmtId="0" fontId="34" fillId="11" borderId="0" xfId="0" applyFont="1" applyFill="1" applyAlignment="1">
      <alignment horizontal="left"/>
    </xf>
    <xf numFmtId="0" fontId="30" fillId="0" borderId="0" xfId="0" applyFont="1" applyAlignment="1">
      <alignment horizontal="center" vertical="center" wrapText="1"/>
    </xf>
    <xf numFmtId="0" fontId="31" fillId="0" borderId="0" xfId="0" applyFont="1" applyAlignment="1">
      <alignment vertical="center" wrapText="1"/>
    </xf>
    <xf numFmtId="0" fontId="31" fillId="0" borderId="0" xfId="0" applyFont="1" applyAlignment="1">
      <alignment horizontal="left" vertical="center" wrapText="1"/>
    </xf>
    <xf numFmtId="0" fontId="25" fillId="0" borderId="0" xfId="0" applyFont="1" applyAlignment="1">
      <alignment horizontal="center"/>
    </xf>
    <xf numFmtId="0" fontId="24" fillId="0" borderId="2" xfId="0" applyFont="1" applyBorder="1" applyAlignment="1">
      <alignment horizontal="left" wrapText="1"/>
    </xf>
    <xf numFmtId="0" fontId="24" fillId="0" borderId="6" xfId="0" applyFont="1" applyBorder="1" applyAlignment="1">
      <alignment horizontal="left" wrapText="1"/>
    </xf>
    <xf numFmtId="0" fontId="24" fillId="0" borderId="3" xfId="0" applyFont="1" applyBorder="1" applyAlignment="1">
      <alignment horizontal="left" wrapText="1"/>
    </xf>
    <xf numFmtId="0" fontId="45" fillId="11" borderId="2" xfId="0" applyFont="1" applyFill="1" applyBorder="1" applyAlignment="1">
      <alignment horizontal="left" vertical="top" wrapText="1"/>
    </xf>
    <xf numFmtId="0" fontId="45" fillId="11" borderId="6" xfId="0" applyFont="1" applyFill="1" applyBorder="1" applyAlignment="1">
      <alignment horizontal="left" vertical="top" wrapText="1"/>
    </xf>
    <xf numFmtId="0" fontId="45" fillId="11" borderId="3" xfId="0" applyFont="1" applyFill="1" applyBorder="1" applyAlignment="1">
      <alignment horizontal="left" vertical="top" wrapText="1"/>
    </xf>
    <xf numFmtId="0" fontId="24" fillId="0" borderId="2" xfId="0" applyFont="1" applyBorder="1" applyAlignment="1">
      <alignment horizontal="left" vertical="top" wrapText="1"/>
    </xf>
    <xf numFmtId="0" fontId="24" fillId="0" borderId="6" xfId="0" applyFont="1" applyBorder="1" applyAlignment="1">
      <alignment horizontal="left" vertical="top" wrapText="1"/>
    </xf>
    <xf numFmtId="0" fontId="24" fillId="0" borderId="3" xfId="0" applyFont="1" applyBorder="1" applyAlignment="1">
      <alignment horizontal="left" vertical="top" wrapText="1"/>
    </xf>
    <xf numFmtId="0" fontId="24" fillId="0" borderId="0" xfId="0" applyFont="1" applyAlignment="1">
      <alignment horizontal="center"/>
    </xf>
    <xf numFmtId="49" fontId="6" fillId="2" borderId="1" xfId="0" applyNumberFormat="1" applyFont="1" applyFill="1" applyBorder="1" applyAlignment="1">
      <alignment horizontal="center" vertical="center" wrapText="1"/>
    </xf>
    <xf numFmtId="49" fontId="0" fillId="0" borderId="7" xfId="0" applyNumberFormat="1" applyBorder="1" applyAlignment="1">
      <alignment horizontal="center" vertical="center"/>
    </xf>
    <xf numFmtId="49" fontId="0" fillId="0" borderId="4" xfId="0" applyNumberFormat="1" applyBorder="1" applyAlignment="1">
      <alignment horizontal="center" vertical="center"/>
    </xf>
    <xf numFmtId="49" fontId="10" fillId="0" borderId="7" xfId="0" applyNumberFormat="1" applyFont="1" applyBorder="1" applyAlignment="1">
      <alignment horizontal="center" vertical="center"/>
    </xf>
    <xf numFmtId="49" fontId="10" fillId="0" borderId="4" xfId="0" applyNumberFormat="1" applyFont="1" applyBorder="1" applyAlignment="1">
      <alignment horizontal="center" vertical="center"/>
    </xf>
    <xf numFmtId="49" fontId="0" fillId="0" borderId="8" xfId="0" applyNumberFormat="1" applyBorder="1" applyAlignment="1">
      <alignment horizontal="center" vertical="center"/>
    </xf>
    <xf numFmtId="49" fontId="0" fillId="0" borderId="7" xfId="0" applyNumberFormat="1" applyBorder="1" applyAlignment="1">
      <alignment horizontal="center" vertical="center" wrapText="1"/>
    </xf>
    <xf numFmtId="49" fontId="0" fillId="0" borderId="4" xfId="0" applyNumberFormat="1" applyBorder="1" applyAlignment="1">
      <alignment horizontal="center" vertical="center" wrapText="1"/>
    </xf>
    <xf numFmtId="49" fontId="14" fillId="0" borderId="7" xfId="0" applyNumberFormat="1" applyFont="1" applyBorder="1" applyAlignment="1">
      <alignment horizontal="center" vertical="center"/>
    </xf>
    <xf numFmtId="49" fontId="14" fillId="0" borderId="8" xfId="0" applyNumberFormat="1" applyFont="1" applyBorder="1" applyAlignment="1">
      <alignment horizontal="center" vertical="center"/>
    </xf>
    <xf numFmtId="49" fontId="14" fillId="0" borderId="4" xfId="0" applyNumberFormat="1" applyFont="1" applyBorder="1" applyAlignment="1">
      <alignment horizontal="center" vertical="center"/>
    </xf>
    <xf numFmtId="49" fontId="6" fillId="2" borderId="2" xfId="0" applyNumberFormat="1" applyFont="1" applyFill="1" applyBorder="1" applyAlignment="1">
      <alignment horizontal="center" vertical="center" wrapText="1"/>
    </xf>
    <xf numFmtId="49" fontId="6" fillId="2" borderId="6" xfId="0" applyNumberFormat="1" applyFont="1" applyFill="1" applyBorder="1" applyAlignment="1">
      <alignment horizontal="center" vertical="center" wrapText="1"/>
    </xf>
    <xf numFmtId="49" fontId="6" fillId="2" borderId="3" xfId="0" applyNumberFormat="1" applyFont="1" applyFill="1" applyBorder="1" applyAlignment="1">
      <alignment horizontal="center" vertical="center" wrapText="1"/>
    </xf>
    <xf numFmtId="49" fontId="10" fillId="0" borderId="1" xfId="0" applyNumberFormat="1" applyFont="1" applyBorder="1" applyAlignment="1">
      <alignment horizontal="center" vertical="top" wrapText="1"/>
    </xf>
    <xf numFmtId="49" fontId="11" fillId="7" borderId="1" xfId="0" applyNumberFormat="1" applyFont="1" applyFill="1" applyBorder="1" applyAlignment="1">
      <alignment horizontal="left" vertical="top" wrapText="1"/>
    </xf>
    <xf numFmtId="49" fontId="10" fillId="0" borderId="1" xfId="0" applyNumberFormat="1" applyFont="1" applyBorder="1" applyAlignment="1">
      <alignment horizontal="left" vertical="top" wrapText="1"/>
    </xf>
    <xf numFmtId="49" fontId="9" fillId="7" borderId="1" xfId="2" applyNumberFormat="1" applyFont="1" applyFill="1" applyAlignment="1">
      <alignment horizontal="left"/>
    </xf>
    <xf numFmtId="49" fontId="0" fillId="0" borderId="1" xfId="0" applyNumberFormat="1" applyBorder="1" applyAlignment="1">
      <alignment horizontal="left" wrapText="1"/>
    </xf>
    <xf numFmtId="49" fontId="0" fillId="0" borderId="1" xfId="0" applyNumberFormat="1" applyBorder="1" applyAlignment="1">
      <alignment horizontal="left"/>
    </xf>
    <xf numFmtId="49" fontId="0" fillId="10" borderId="7" xfId="0" applyNumberFormat="1" applyFill="1" applyBorder="1" applyAlignment="1">
      <alignment horizontal="center" vertical="center"/>
    </xf>
    <xf numFmtId="49" fontId="0" fillId="10" borderId="4" xfId="0" applyNumberFormat="1" applyFill="1" applyBorder="1" applyAlignment="1">
      <alignment horizontal="center" vertical="center"/>
    </xf>
    <xf numFmtId="0" fontId="0" fillId="0" borderId="2" xfId="0" applyBorder="1" applyAlignment="1">
      <alignment horizontal="left" vertical="center" wrapText="1"/>
    </xf>
    <xf numFmtId="0" fontId="0" fillId="0" borderId="6" xfId="0" applyBorder="1" applyAlignment="1">
      <alignment horizontal="left" vertical="center" wrapText="1"/>
    </xf>
    <xf numFmtId="0" fontId="0" fillId="0" borderId="3" xfId="0" applyBorder="1" applyAlignment="1">
      <alignment horizontal="left" vertical="center" wrapText="1"/>
    </xf>
  </cellXfs>
  <cellStyles count="5">
    <cellStyle name="Neutre" xfId="1" builtinId="28"/>
    <cellStyle name="Normal" xfId="0" builtinId="0" customBuiltin="1"/>
    <cellStyle name="Titre 1" xfId="2" xr:uid="{352FF607-9E7E-4C29-8420-D29DF9490361}"/>
    <cellStyle name="Titre 2" xfId="3" xr:uid="{B565FCB5-3AC4-47EA-AF44-04F8F42F19E9}"/>
    <cellStyle name="Titre 3" xfId="4" xr:uid="{D6004564-1120-4FA0-A397-4D1686276D41}"/>
  </cellStyles>
  <dxfs count="6">
    <dxf>
      <font>
        <color theme="0"/>
      </font>
    </dxf>
    <dxf>
      <font>
        <color theme="0"/>
      </font>
    </dxf>
    <dxf>
      <font>
        <color theme="0"/>
      </font>
    </dxf>
    <dxf>
      <font>
        <color theme="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3810</xdr:colOff>
      <xdr:row>4</xdr:row>
      <xdr:rowOff>94615</xdr:rowOff>
    </xdr:to>
    <xdr:pic>
      <xdr:nvPicPr>
        <xdr:cNvPr id="2" name="image1.png">
          <a:extLst>
            <a:ext uri="{FF2B5EF4-FFF2-40B4-BE49-F238E27FC236}">
              <a16:creationId xmlns:a16="http://schemas.microsoft.com/office/drawing/2014/main" id="{9859116A-02F8-533C-5D51-773E2197BA03}"/>
            </a:ext>
          </a:extLst>
        </xdr:cNvPr>
        <xdr:cNvPicPr>
          <a:picLocks noChangeAspect="1"/>
        </xdr:cNvPicPr>
      </xdr:nvPicPr>
      <xdr:blipFill>
        <a:blip xmlns:r="http://schemas.openxmlformats.org/officeDocument/2006/relationships" r:embed="rId1" cstate="print"/>
        <a:stretch>
          <a:fillRect/>
        </a:stretch>
      </xdr:blipFill>
      <xdr:spPr>
        <a:xfrm>
          <a:off x="0" y="171450"/>
          <a:ext cx="651510" cy="60896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5743575</xdr:colOff>
      <xdr:row>0</xdr:row>
      <xdr:rowOff>66675</xdr:rowOff>
    </xdr:from>
    <xdr:to>
      <xdr:col>0</xdr:col>
      <xdr:colOff>6042025</xdr:colOff>
      <xdr:row>2</xdr:row>
      <xdr:rowOff>3175</xdr:rowOff>
    </xdr:to>
    <xdr:pic>
      <xdr:nvPicPr>
        <xdr:cNvPr id="2" name="image1.png">
          <a:extLst>
            <a:ext uri="{FF2B5EF4-FFF2-40B4-BE49-F238E27FC236}">
              <a16:creationId xmlns:a16="http://schemas.microsoft.com/office/drawing/2014/main" id="{D0157D01-2DFA-718C-E2C3-0830A43607D0}"/>
            </a:ext>
          </a:extLst>
        </xdr:cNvPr>
        <xdr:cNvPicPr>
          <a:picLocks noChangeAspect="1"/>
        </xdr:cNvPicPr>
      </xdr:nvPicPr>
      <xdr:blipFill>
        <a:blip xmlns:r="http://schemas.openxmlformats.org/officeDocument/2006/relationships" r:embed="rId1" cstate="print"/>
        <a:stretch>
          <a:fillRect/>
        </a:stretch>
      </xdr:blipFill>
      <xdr:spPr>
        <a:xfrm>
          <a:off x="5743575" y="66675"/>
          <a:ext cx="298450" cy="279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27</xdr:row>
      <xdr:rowOff>113396</xdr:rowOff>
    </xdr:from>
    <xdr:to>
      <xdr:col>1</xdr:col>
      <xdr:colOff>2785298</xdr:colOff>
      <xdr:row>38</xdr:row>
      <xdr:rowOff>95250</xdr:rowOff>
    </xdr:to>
    <xdr:pic>
      <xdr:nvPicPr>
        <xdr:cNvPr id="2" name="Image 1">
          <a:extLst>
            <a:ext uri="{FF2B5EF4-FFF2-40B4-BE49-F238E27FC236}">
              <a16:creationId xmlns:a16="http://schemas.microsoft.com/office/drawing/2014/main" id="{062EBB87-C89A-8171-13CB-5623335F7F5A}"/>
            </a:ext>
          </a:extLst>
        </xdr:cNvPr>
        <xdr:cNvPicPr>
          <a:picLocks noChangeAspect="1"/>
        </xdr:cNvPicPr>
      </xdr:nvPicPr>
      <xdr:blipFill>
        <a:blip xmlns:r="http://schemas.openxmlformats.org/officeDocument/2006/relationships" r:embed="rId1"/>
        <a:stretch>
          <a:fillRect/>
        </a:stretch>
      </xdr:blipFill>
      <xdr:spPr>
        <a:xfrm>
          <a:off x="190500" y="4980671"/>
          <a:ext cx="2918648" cy="1867804"/>
        </a:xfrm>
        <a:prstGeom prst="rect">
          <a:avLst/>
        </a:prstGeom>
      </xdr:spPr>
    </xdr:pic>
    <xdr:clientData/>
  </xdr:twoCellAnchor>
  <xdr:twoCellAnchor editAs="oneCell">
    <xdr:from>
      <xdr:col>1</xdr:col>
      <xdr:colOff>2895599</xdr:colOff>
      <xdr:row>27</xdr:row>
      <xdr:rowOff>85726</xdr:rowOff>
    </xdr:from>
    <xdr:to>
      <xdr:col>5</xdr:col>
      <xdr:colOff>409575</xdr:colOff>
      <xdr:row>39</xdr:row>
      <xdr:rowOff>74788</xdr:rowOff>
    </xdr:to>
    <xdr:pic>
      <xdr:nvPicPr>
        <xdr:cNvPr id="3" name="Image 2">
          <a:extLst>
            <a:ext uri="{FF2B5EF4-FFF2-40B4-BE49-F238E27FC236}">
              <a16:creationId xmlns:a16="http://schemas.microsoft.com/office/drawing/2014/main" id="{4AE002F7-135F-FA6C-19F2-7107A9645966}"/>
            </a:ext>
          </a:extLst>
        </xdr:cNvPr>
        <xdr:cNvPicPr>
          <a:picLocks noChangeAspect="1"/>
        </xdr:cNvPicPr>
      </xdr:nvPicPr>
      <xdr:blipFill rotWithShape="1">
        <a:blip xmlns:r="http://schemas.openxmlformats.org/officeDocument/2006/relationships" r:embed="rId2"/>
        <a:srcRect r="5264"/>
        <a:stretch>
          <a:fillRect/>
        </a:stretch>
      </xdr:blipFill>
      <xdr:spPr>
        <a:xfrm>
          <a:off x="3267074" y="4953001"/>
          <a:ext cx="3086101" cy="2046462"/>
        </a:xfrm>
        <a:prstGeom prst="rect">
          <a:avLst/>
        </a:prstGeom>
      </xdr:spPr>
    </xdr:pic>
    <xdr:clientData/>
  </xdr:twoCellAnchor>
  <xdr:twoCellAnchor editAs="oneCell">
    <xdr:from>
      <xdr:col>1</xdr:col>
      <xdr:colOff>1143000</xdr:colOff>
      <xdr:row>41</xdr:row>
      <xdr:rowOff>95248</xdr:rowOff>
    </xdr:from>
    <xdr:to>
      <xdr:col>2</xdr:col>
      <xdr:colOff>37827</xdr:colOff>
      <xdr:row>52</xdr:row>
      <xdr:rowOff>133350</xdr:rowOff>
    </xdr:to>
    <xdr:pic>
      <xdr:nvPicPr>
        <xdr:cNvPr id="4" name="Image 3">
          <a:extLst>
            <a:ext uri="{FF2B5EF4-FFF2-40B4-BE49-F238E27FC236}">
              <a16:creationId xmlns:a16="http://schemas.microsoft.com/office/drawing/2014/main" id="{2A0E4096-EC93-A23C-0409-3852E00B5BC0}"/>
            </a:ext>
          </a:extLst>
        </xdr:cNvPr>
        <xdr:cNvPicPr>
          <a:picLocks noChangeAspect="1"/>
        </xdr:cNvPicPr>
      </xdr:nvPicPr>
      <xdr:blipFill>
        <a:blip xmlns:r="http://schemas.openxmlformats.org/officeDocument/2006/relationships" r:embed="rId3"/>
        <a:stretch>
          <a:fillRect/>
        </a:stretch>
      </xdr:blipFill>
      <xdr:spPr>
        <a:xfrm>
          <a:off x="1514475" y="7362823"/>
          <a:ext cx="3495402" cy="19240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6FB9D-C07A-4665-8E81-5A20DE8E6657}">
  <sheetPr codeName="Feuil1"/>
  <dimension ref="A1:D13"/>
  <sheetViews>
    <sheetView workbookViewId="0">
      <selection activeCell="A22" sqref="A22"/>
    </sheetView>
  </sheetViews>
  <sheetFormatPr baseColWidth="10" defaultRowHeight="13.5" x14ac:dyDescent="0.35"/>
  <cols>
    <col min="1" max="1" width="43.77734375" customWidth="1"/>
  </cols>
  <sheetData>
    <row r="1" spans="1:4" x14ac:dyDescent="0.35">
      <c r="A1" s="124" t="s">
        <v>585</v>
      </c>
      <c r="B1" s="123"/>
      <c r="C1" s="123"/>
      <c r="D1" s="123"/>
    </row>
    <row r="2" spans="1:4" x14ac:dyDescent="0.35">
      <c r="A2" s="124" t="s">
        <v>586</v>
      </c>
      <c r="B2" s="123"/>
      <c r="C2" s="123"/>
      <c r="D2" s="123"/>
    </row>
    <row r="3" spans="1:4" x14ac:dyDescent="0.35">
      <c r="A3" s="124" t="s">
        <v>587</v>
      </c>
      <c r="B3" s="123"/>
      <c r="C3" s="123"/>
      <c r="D3" s="123"/>
    </row>
    <row r="4" spans="1:4" x14ac:dyDescent="0.35">
      <c r="A4" s="124" t="s">
        <v>588</v>
      </c>
      <c r="B4" s="123"/>
      <c r="C4" s="123"/>
      <c r="D4" s="123"/>
    </row>
    <row r="5" spans="1:4" x14ac:dyDescent="0.35">
      <c r="A5" s="124" t="s">
        <v>589</v>
      </c>
    </row>
    <row r="6" spans="1:4" x14ac:dyDescent="0.35">
      <c r="A6" s="124" t="s">
        <v>590</v>
      </c>
    </row>
    <row r="7" spans="1:4" x14ac:dyDescent="0.35">
      <c r="A7" s="124" t="s">
        <v>591</v>
      </c>
    </row>
    <row r="8" spans="1:4" x14ac:dyDescent="0.35">
      <c r="A8" s="124" t="s">
        <v>592</v>
      </c>
    </row>
    <row r="9" spans="1:4" x14ac:dyDescent="0.35">
      <c r="A9" s="124" t="s">
        <v>593</v>
      </c>
    </row>
    <row r="10" spans="1:4" x14ac:dyDescent="0.35">
      <c r="A10" s="124" t="s">
        <v>594</v>
      </c>
    </row>
    <row r="11" spans="1:4" x14ac:dyDescent="0.35">
      <c r="A11" s="125"/>
    </row>
    <row r="12" spans="1:4" x14ac:dyDescent="0.35">
      <c r="A12" s="125"/>
    </row>
    <row r="13" spans="1:4" x14ac:dyDescent="0.35">
      <c r="A13" s="12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9132E-DEDE-48C8-BB43-D94431B5CCEA}">
  <sheetPr codeName="Feuil2"/>
  <dimension ref="A7:I53"/>
  <sheetViews>
    <sheetView showGridLines="0" tabSelected="1" view="pageBreakPreview" topLeftCell="A19" zoomScale="70" zoomScaleNormal="100" zoomScaleSheetLayoutView="70" zoomScalePageLayoutView="70" workbookViewId="0">
      <selection activeCell="M16" sqref="M16"/>
    </sheetView>
  </sheetViews>
  <sheetFormatPr baseColWidth="10" defaultColWidth="12" defaultRowHeight="13.5" x14ac:dyDescent="0.35"/>
  <cols>
    <col min="6" max="6" width="16.44140625" customWidth="1"/>
    <col min="7" max="7" width="10.44140625" customWidth="1"/>
    <col min="8" max="8" width="8.77734375" customWidth="1"/>
    <col min="9" max="9" width="18.44140625" customWidth="1"/>
  </cols>
  <sheetData>
    <row r="7" spans="1:9" x14ac:dyDescent="0.35">
      <c r="A7" s="90" t="s">
        <v>560</v>
      </c>
      <c r="B7" s="90"/>
      <c r="F7" s="89"/>
      <c r="G7" s="89"/>
    </row>
    <row r="8" spans="1:9" x14ac:dyDescent="0.35">
      <c r="A8" s="90" t="s">
        <v>561</v>
      </c>
      <c r="F8" s="89"/>
      <c r="G8" s="89"/>
    </row>
    <row r="9" spans="1:9" x14ac:dyDescent="0.35">
      <c r="A9" s="91" t="s">
        <v>562</v>
      </c>
      <c r="B9" s="91"/>
      <c r="F9" s="89"/>
      <c r="G9" s="89"/>
    </row>
    <row r="10" spans="1:9" x14ac:dyDescent="0.35">
      <c r="A10" s="91" t="s">
        <v>563</v>
      </c>
      <c r="B10" s="91"/>
      <c r="F10" s="89"/>
      <c r="G10" s="89"/>
    </row>
    <row r="11" spans="1:9" x14ac:dyDescent="0.35">
      <c r="A11" s="91" t="s">
        <v>564</v>
      </c>
      <c r="B11" s="91"/>
      <c r="F11" s="89"/>
      <c r="G11" s="89"/>
    </row>
    <row r="12" spans="1:9" x14ac:dyDescent="0.35">
      <c r="A12" s="91"/>
      <c r="B12" s="91"/>
      <c r="F12" s="89"/>
      <c r="G12" s="89"/>
    </row>
    <row r="13" spans="1:9" x14ac:dyDescent="0.35">
      <c r="A13" s="91"/>
      <c r="B13" s="91"/>
      <c r="F13" s="89"/>
      <c r="G13" s="89"/>
    </row>
    <row r="15" spans="1:9" x14ac:dyDescent="0.35">
      <c r="A15" s="283" t="s">
        <v>667</v>
      </c>
      <c r="B15" s="283"/>
      <c r="C15" s="283"/>
      <c r="D15" s="283"/>
      <c r="E15" s="283"/>
      <c r="F15" s="283"/>
      <c r="G15" s="283"/>
      <c r="H15" s="283"/>
      <c r="I15" s="283"/>
    </row>
    <row r="16" spans="1:9" x14ac:dyDescent="0.35">
      <c r="A16" s="283"/>
      <c r="B16" s="283"/>
      <c r="C16" s="283"/>
      <c r="D16" s="283"/>
      <c r="E16" s="283"/>
      <c r="F16" s="283"/>
      <c r="G16" s="283"/>
      <c r="H16" s="283"/>
      <c r="I16" s="283"/>
    </row>
    <row r="17" spans="1:9" x14ac:dyDescent="0.35">
      <c r="A17" s="283"/>
      <c r="B17" s="283"/>
      <c r="C17" s="283"/>
      <c r="D17" s="283"/>
      <c r="E17" s="283"/>
      <c r="F17" s="283"/>
      <c r="G17" s="283"/>
      <c r="H17" s="283"/>
      <c r="I17" s="283"/>
    </row>
    <row r="18" spans="1:9" x14ac:dyDescent="0.35">
      <c r="A18" s="283"/>
      <c r="B18" s="283"/>
      <c r="C18" s="283"/>
      <c r="D18" s="283"/>
      <c r="E18" s="283"/>
      <c r="F18" s="283"/>
      <c r="G18" s="283"/>
      <c r="H18" s="283"/>
      <c r="I18" s="283"/>
    </row>
    <row r="22" spans="1:9" x14ac:dyDescent="0.35">
      <c r="A22" s="284"/>
      <c r="B22" s="284"/>
      <c r="C22" s="284"/>
      <c r="D22" s="284"/>
      <c r="E22" s="284"/>
      <c r="F22" s="284"/>
      <c r="G22" s="284"/>
      <c r="H22" s="284"/>
      <c r="I22" s="284"/>
    </row>
    <row r="23" spans="1:9" x14ac:dyDescent="0.35">
      <c r="A23" s="284"/>
      <c r="B23" s="284"/>
      <c r="C23" s="284"/>
      <c r="D23" s="284"/>
      <c r="E23" s="284"/>
      <c r="F23" s="284"/>
      <c r="G23" s="284"/>
      <c r="H23" s="284"/>
      <c r="I23" s="284"/>
    </row>
    <row r="30" spans="1:9" x14ac:dyDescent="0.35">
      <c r="A30" s="89" t="s">
        <v>582</v>
      </c>
      <c r="B30" s="89"/>
      <c r="C30" s="289"/>
      <c r="D30" s="282"/>
      <c r="E30" s="282"/>
      <c r="F30" s="89"/>
      <c r="G30" s="89"/>
      <c r="H30" s="89"/>
      <c r="I30" s="89"/>
    </row>
    <row r="31" spans="1:9" x14ac:dyDescent="0.35">
      <c r="B31" s="89"/>
      <c r="C31" s="89"/>
      <c r="D31" s="89"/>
      <c r="E31" s="89"/>
      <c r="F31" s="89"/>
      <c r="G31" s="89"/>
      <c r="H31" s="89"/>
      <c r="I31" s="89"/>
    </row>
    <row r="32" spans="1:9" x14ac:dyDescent="0.35">
      <c r="A32" s="89" t="s">
        <v>583</v>
      </c>
      <c r="B32" s="89"/>
      <c r="C32" s="282"/>
      <c r="D32" s="282"/>
      <c r="E32" s="282"/>
      <c r="F32" s="89"/>
      <c r="G32" s="89"/>
      <c r="H32" s="89"/>
      <c r="I32" s="89"/>
    </row>
    <row r="33" spans="1:9" x14ac:dyDescent="0.35">
      <c r="B33" s="89"/>
      <c r="C33" s="89"/>
      <c r="D33" s="89"/>
      <c r="E33" s="89"/>
      <c r="F33" s="89"/>
      <c r="G33" s="89"/>
      <c r="H33" s="89"/>
      <c r="I33" s="89"/>
    </row>
    <row r="34" spans="1:9" x14ac:dyDescent="0.35">
      <c r="A34" s="89" t="s">
        <v>584</v>
      </c>
      <c r="B34" s="89"/>
      <c r="C34" s="282"/>
      <c r="D34" s="282"/>
      <c r="E34" s="282"/>
      <c r="F34" s="89"/>
      <c r="G34" s="89"/>
      <c r="H34" s="89"/>
      <c r="I34" s="89"/>
    </row>
    <row r="36" spans="1:9" x14ac:dyDescent="0.35">
      <c r="A36" s="287" t="s">
        <v>585</v>
      </c>
      <c r="B36" s="287"/>
      <c r="C36" s="287"/>
      <c r="D36" s="287"/>
      <c r="E36" s="208"/>
      <c r="F36" s="287">
        <f>IF(A36=Data!A1,,"Date de la version précédente:")</f>
        <v>0</v>
      </c>
      <c r="G36" s="287"/>
      <c r="H36" s="287"/>
      <c r="I36" s="209">
        <f>IF(A36=Data!A1,,"xx/xx/xxxx")</f>
        <v>0</v>
      </c>
    </row>
    <row r="37" spans="1:9" x14ac:dyDescent="0.35">
      <c r="A37" s="288">
        <f>IF(A36=Data!A1,,"Référence de la version précédente:")</f>
        <v>0</v>
      </c>
      <c r="B37" s="288"/>
      <c r="C37" s="288"/>
      <c r="D37" s="288"/>
      <c r="E37" s="210"/>
      <c r="F37" s="288">
        <f>IF(A36=Data!A1,,"JB000-xx-xxx-RP-Numéro projet-Vx")</f>
        <v>0</v>
      </c>
      <c r="G37" s="288"/>
      <c r="H37" s="288"/>
      <c r="I37" s="210"/>
    </row>
    <row r="41" spans="1:9" x14ac:dyDescent="0.35">
      <c r="A41" s="285" t="s">
        <v>720</v>
      </c>
      <c r="B41" s="286"/>
      <c r="C41" s="286"/>
      <c r="D41" s="286"/>
      <c r="E41" s="286"/>
      <c r="F41" s="286"/>
      <c r="G41" s="286"/>
      <c r="H41" s="286"/>
      <c r="I41" s="286"/>
    </row>
    <row r="42" spans="1:9" x14ac:dyDescent="0.35">
      <c r="A42" s="286"/>
      <c r="B42" s="286"/>
      <c r="C42" s="286"/>
      <c r="D42" s="286"/>
      <c r="E42" s="286"/>
      <c r="F42" s="286"/>
      <c r="G42" s="286"/>
      <c r="H42" s="286"/>
      <c r="I42" s="286"/>
    </row>
    <row r="43" spans="1:9" x14ac:dyDescent="0.35">
      <c r="A43" s="286"/>
      <c r="B43" s="286"/>
      <c r="C43" s="286"/>
      <c r="D43" s="286"/>
      <c r="E43" s="286"/>
      <c r="F43" s="286"/>
      <c r="G43" s="286"/>
      <c r="H43" s="286"/>
      <c r="I43" s="286"/>
    </row>
    <row r="47" spans="1:9" x14ac:dyDescent="0.35">
      <c r="A47" s="280" t="s">
        <v>580</v>
      </c>
      <c r="B47" s="280"/>
      <c r="C47" s="282"/>
      <c r="D47" s="282"/>
      <c r="E47" s="282"/>
      <c r="F47" s="89" t="s">
        <v>578</v>
      </c>
      <c r="G47" s="281"/>
      <c r="H47" s="281"/>
      <c r="I47" s="281"/>
    </row>
    <row r="50" spans="1:9" x14ac:dyDescent="0.35">
      <c r="A50" s="280" t="s">
        <v>579</v>
      </c>
      <c r="B50" s="280"/>
      <c r="C50" s="126"/>
      <c r="F50" s="89" t="s">
        <v>579</v>
      </c>
    </row>
    <row r="52" spans="1:9" ht="6" customHeight="1" x14ac:dyDescent="0.35"/>
    <row r="53" spans="1:9" x14ac:dyDescent="0.35">
      <c r="A53" s="122"/>
      <c r="B53" s="122"/>
      <c r="C53" s="122"/>
      <c r="G53" s="122"/>
      <c r="H53" s="122"/>
      <c r="I53" s="122"/>
    </row>
  </sheetData>
  <mergeCells count="14">
    <mergeCell ref="A50:B50"/>
    <mergeCell ref="G47:I47"/>
    <mergeCell ref="C47:E47"/>
    <mergeCell ref="A15:I18"/>
    <mergeCell ref="A22:I23"/>
    <mergeCell ref="A41:I43"/>
    <mergeCell ref="A36:D36"/>
    <mergeCell ref="A37:D37"/>
    <mergeCell ref="F36:H36"/>
    <mergeCell ref="F37:H37"/>
    <mergeCell ref="C30:E30"/>
    <mergeCell ref="C32:E32"/>
    <mergeCell ref="C34:E34"/>
    <mergeCell ref="A47:B47"/>
  </mergeCells>
  <conditionalFormatting sqref="F36">
    <cfRule type="expression" dxfId="3" priority="6">
      <formula>$F$36=0</formula>
    </cfRule>
  </conditionalFormatting>
  <conditionalFormatting sqref="I36">
    <cfRule type="expression" dxfId="2" priority="3">
      <formula>$I$36=0</formula>
    </cfRule>
    <cfRule type="expression" priority="4">
      <formula>$I$36=0</formula>
    </cfRule>
    <cfRule type="expression" priority="5">
      <formula>$I$36=0</formula>
    </cfRule>
  </conditionalFormatting>
  <conditionalFormatting sqref="A37">
    <cfRule type="expression" dxfId="1" priority="2">
      <formula>$A$37=0</formula>
    </cfRule>
  </conditionalFormatting>
  <conditionalFormatting sqref="F37:H37">
    <cfRule type="expression" dxfId="0" priority="1">
      <formula>$F$37=0</formula>
    </cfRule>
  </conditionalFormatting>
  <pageMargins left="0.59055118110236227" right="0.59055118110236227" top="0.59055118110236227" bottom="0.59055118110236227" header="0.31496062992125984" footer="0.31496062992125984"/>
  <pageSetup paperSize="9" orientation="portrait" r:id="rId1"/>
  <headerFooter>
    <oddHeader>&amp;LSQ-04_MOD_LUX_31 V3</oddHeader>
    <oddFooter>&amp;R&amp;P / &amp;N</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E1D87B8-9E71-4893-AD3F-DB7D0C22B035}">
          <x14:formula1>
            <xm:f>Data!$A$1:$A$13</xm:f>
          </x14:formula1>
          <xm:sqref>A36 E36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87605-A40C-4735-B78F-648C19B0F9AC}">
  <sheetPr codeName="Feuil3"/>
  <dimension ref="A4:F45"/>
  <sheetViews>
    <sheetView showGridLines="0" view="pageBreakPreview" zoomScale="40" zoomScaleNormal="100" zoomScaleSheetLayoutView="40" zoomScalePageLayoutView="55" workbookViewId="0">
      <selection activeCell="M42" sqref="M42"/>
    </sheetView>
  </sheetViews>
  <sheetFormatPr baseColWidth="10" defaultColWidth="12" defaultRowHeight="13.5" x14ac:dyDescent="0.35"/>
  <cols>
    <col min="1" max="1" width="108" customWidth="1"/>
    <col min="2" max="2" width="5.6640625" customWidth="1"/>
    <col min="3" max="3" width="2.33203125" customWidth="1"/>
    <col min="4" max="4" width="1.33203125" customWidth="1"/>
    <col min="5" max="5" width="0.109375" customWidth="1"/>
    <col min="6" max="6" width="6.44140625" hidden="1" customWidth="1"/>
  </cols>
  <sheetData>
    <row r="4" spans="1:2" ht="47.25" customHeight="1" x14ac:dyDescent="0.35">
      <c r="A4" s="291" t="s">
        <v>566</v>
      </c>
      <c r="B4" s="291"/>
    </row>
    <row r="5" spans="1:2" ht="14" x14ac:dyDescent="0.35">
      <c r="A5" s="294" t="s">
        <v>565</v>
      </c>
      <c r="B5" s="294"/>
    </row>
    <row r="6" spans="1:2" ht="14.5" x14ac:dyDescent="0.35">
      <c r="A6" s="92"/>
    </row>
    <row r="7" spans="1:2" ht="14.5" x14ac:dyDescent="0.35">
      <c r="A7" s="92"/>
    </row>
    <row r="8" spans="1:2" ht="14.5" x14ac:dyDescent="0.35">
      <c r="A8" s="92"/>
    </row>
    <row r="9" spans="1:2" ht="31" customHeight="1" x14ac:dyDescent="0.35">
      <c r="A9" s="291" t="s">
        <v>595</v>
      </c>
      <c r="B9" s="291"/>
    </row>
    <row r="10" spans="1:2" ht="14.5" x14ac:dyDescent="0.35">
      <c r="A10" s="92"/>
    </row>
    <row r="11" spans="1:2" ht="28" customHeight="1" x14ac:dyDescent="0.35">
      <c r="A11" s="296" t="s">
        <v>567</v>
      </c>
      <c r="B11" s="296"/>
    </row>
    <row r="12" spans="1:2" ht="28" customHeight="1" x14ac:dyDescent="0.35">
      <c r="A12" s="296" t="s">
        <v>568</v>
      </c>
      <c r="B12" s="296"/>
    </row>
    <row r="13" spans="1:2" x14ac:dyDescent="0.35">
      <c r="A13" s="94"/>
    </row>
    <row r="14" spans="1:2" ht="14.5" x14ac:dyDescent="0.35">
      <c r="A14" s="92"/>
    </row>
    <row r="15" spans="1:2" ht="14.5" x14ac:dyDescent="0.35">
      <c r="A15" s="290" t="s">
        <v>569</v>
      </c>
      <c r="B15" s="290"/>
    </row>
    <row r="16" spans="1:2" ht="14.5" customHeight="1" x14ac:dyDescent="0.35">
      <c r="A16" s="291"/>
      <c r="B16" s="291"/>
    </row>
    <row r="17" spans="1:2" ht="14.5" x14ac:dyDescent="0.35">
      <c r="A17" s="292"/>
      <c r="B17" s="292"/>
    </row>
    <row r="18" spans="1:2" ht="14.5" x14ac:dyDescent="0.35">
      <c r="A18" s="292"/>
      <c r="B18" s="292"/>
    </row>
    <row r="19" spans="1:2" ht="14.5" x14ac:dyDescent="0.35">
      <c r="A19" s="292"/>
      <c r="B19" s="292"/>
    </row>
    <row r="20" spans="1:2" ht="14.5" x14ac:dyDescent="0.35">
      <c r="A20" s="292"/>
      <c r="B20" s="292"/>
    </row>
    <row r="21" spans="1:2" ht="14.5" x14ac:dyDescent="0.35">
      <c r="A21" s="292"/>
      <c r="B21" s="292"/>
    </row>
    <row r="22" spans="1:2" ht="14.5" x14ac:dyDescent="0.35">
      <c r="A22" s="292"/>
      <c r="B22" s="292"/>
    </row>
    <row r="23" spans="1:2" ht="14.5" x14ac:dyDescent="0.35">
      <c r="A23" s="292"/>
      <c r="B23" s="292"/>
    </row>
    <row r="24" spans="1:2" ht="29.5" customHeight="1" x14ac:dyDescent="0.35">
      <c r="A24" s="291" t="s">
        <v>577</v>
      </c>
      <c r="B24" s="291"/>
    </row>
    <row r="25" spans="1:2" x14ac:dyDescent="0.35">
      <c r="A25" s="94"/>
    </row>
    <row r="26" spans="1:2" ht="14" x14ac:dyDescent="0.35">
      <c r="A26" s="295" t="s">
        <v>726</v>
      </c>
      <c r="B26" s="295"/>
    </row>
    <row r="27" spans="1:2" ht="14" x14ac:dyDescent="0.35">
      <c r="A27" s="93"/>
    </row>
    <row r="28" spans="1:2" ht="14" x14ac:dyDescent="0.35">
      <c r="A28" s="295" t="s">
        <v>596</v>
      </c>
      <c r="B28" s="295"/>
    </row>
    <row r="29" spans="1:2" x14ac:dyDescent="0.35">
      <c r="A29" s="94"/>
    </row>
    <row r="30" spans="1:2" ht="14" x14ac:dyDescent="0.35">
      <c r="A30" s="295" t="s">
        <v>570</v>
      </c>
      <c r="B30" s="295"/>
    </row>
    <row r="31" spans="1:2" ht="14" x14ac:dyDescent="0.35">
      <c r="A31" s="95"/>
    </row>
    <row r="32" spans="1:2" ht="14.5" x14ac:dyDescent="0.35">
      <c r="A32" s="92"/>
    </row>
    <row r="33" spans="1:2" ht="14.5" x14ac:dyDescent="0.35">
      <c r="A33" s="92"/>
    </row>
    <row r="34" spans="1:2" ht="14.5" x14ac:dyDescent="0.35">
      <c r="A34" s="92"/>
    </row>
    <row r="35" spans="1:2" ht="14.5" x14ac:dyDescent="0.35">
      <c r="A35" s="92"/>
    </row>
    <row r="36" spans="1:2" ht="14.5" x14ac:dyDescent="0.35">
      <c r="A36" s="92"/>
    </row>
    <row r="37" spans="1:2" ht="14.5" x14ac:dyDescent="0.35">
      <c r="A37" s="92"/>
    </row>
    <row r="38" spans="1:2" ht="14.5" x14ac:dyDescent="0.35">
      <c r="A38" s="293" t="s">
        <v>746</v>
      </c>
      <c r="B38" s="293"/>
    </row>
    <row r="39" spans="1:2" ht="14.5" x14ac:dyDescent="0.35">
      <c r="A39" s="92"/>
    </row>
    <row r="40" spans="1:2" ht="14.5" x14ac:dyDescent="0.35">
      <c r="A40" s="92"/>
    </row>
    <row r="41" spans="1:2" ht="14.5" x14ac:dyDescent="0.35">
      <c r="A41" s="92"/>
    </row>
    <row r="42" spans="1:2" ht="14.5" x14ac:dyDescent="0.35">
      <c r="A42" s="92"/>
    </row>
    <row r="43" spans="1:2" ht="14.5" x14ac:dyDescent="0.35">
      <c r="A43" s="92"/>
    </row>
    <row r="44" spans="1:2" ht="14.5" x14ac:dyDescent="0.35">
      <c r="A44" s="92"/>
    </row>
    <row r="45" spans="1:2" ht="14.5" x14ac:dyDescent="0.35">
      <c r="A45" s="92"/>
    </row>
  </sheetData>
  <mergeCells count="19">
    <mergeCell ref="A9:B9"/>
    <mergeCell ref="A11:B11"/>
    <mergeCell ref="A12:B12"/>
    <mergeCell ref="A15:B15"/>
    <mergeCell ref="A16:B16"/>
    <mergeCell ref="A17:B17"/>
    <mergeCell ref="A38:B38"/>
    <mergeCell ref="A4:B4"/>
    <mergeCell ref="A5:B5"/>
    <mergeCell ref="A24:B24"/>
    <mergeCell ref="A26:B26"/>
    <mergeCell ref="A28:B28"/>
    <mergeCell ref="A30:B30"/>
    <mergeCell ref="A18:B18"/>
    <mergeCell ref="A19:B19"/>
    <mergeCell ref="A20:B20"/>
    <mergeCell ref="A21:B21"/>
    <mergeCell ref="A22:B22"/>
    <mergeCell ref="A23:B23"/>
  </mergeCells>
  <pageMargins left="0.59055118110236227" right="0.59055118110236227"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0B4A7-480F-4F38-9484-9706C77A04C0}">
  <sheetPr codeName="Feuil4"/>
  <dimension ref="A1:I11"/>
  <sheetViews>
    <sheetView view="pageBreakPreview" zoomScale="60" zoomScaleNormal="100" zoomScalePageLayoutView="70" workbookViewId="0">
      <selection activeCell="A7" sqref="A7:I7"/>
    </sheetView>
  </sheetViews>
  <sheetFormatPr baseColWidth="10" defaultColWidth="12" defaultRowHeight="13.5" x14ac:dyDescent="0.35"/>
  <cols>
    <col min="6" max="6" width="16.44140625" customWidth="1"/>
    <col min="7" max="7" width="10.77734375" customWidth="1"/>
    <col min="9" max="9" width="13.77734375" customWidth="1"/>
  </cols>
  <sheetData>
    <row r="1" spans="1:9" x14ac:dyDescent="0.35">
      <c r="A1" s="297" t="s">
        <v>597</v>
      </c>
      <c r="B1" s="297"/>
      <c r="C1" s="297"/>
      <c r="D1" s="297"/>
      <c r="E1" s="297"/>
      <c r="F1" s="297"/>
      <c r="G1" s="297"/>
      <c r="H1" s="297"/>
      <c r="I1" s="297"/>
    </row>
    <row r="2" spans="1:9" x14ac:dyDescent="0.35">
      <c r="A2" s="121"/>
      <c r="B2" s="121"/>
      <c r="C2" s="121"/>
      <c r="D2" s="121"/>
      <c r="E2" s="121"/>
      <c r="F2" s="121"/>
      <c r="G2" s="121"/>
      <c r="H2" s="121"/>
      <c r="I2" s="121"/>
    </row>
    <row r="3" spans="1:9" x14ac:dyDescent="0.35">
      <c r="A3" s="307" t="s">
        <v>575</v>
      </c>
      <c r="B3" s="307"/>
      <c r="C3" s="307"/>
      <c r="D3" s="307"/>
      <c r="E3" s="307"/>
      <c r="F3" s="307"/>
      <c r="G3" s="307"/>
      <c r="H3" s="307"/>
      <c r="I3" s="307"/>
    </row>
    <row r="5" spans="1:9" ht="55.5" customHeight="1" x14ac:dyDescent="0.35">
      <c r="A5" s="298" t="s">
        <v>576</v>
      </c>
      <c r="B5" s="299"/>
      <c r="C5" s="299"/>
      <c r="D5" s="299"/>
      <c r="E5" s="299"/>
      <c r="F5" s="299"/>
      <c r="G5" s="299"/>
      <c r="H5" s="299"/>
      <c r="I5" s="300"/>
    </row>
    <row r="7" spans="1:9" ht="99" customHeight="1" x14ac:dyDescent="0.35">
      <c r="A7" s="301" t="s">
        <v>745</v>
      </c>
      <c r="B7" s="302"/>
      <c r="C7" s="302"/>
      <c r="D7" s="302"/>
      <c r="E7" s="302"/>
      <c r="F7" s="302"/>
      <c r="G7" s="302"/>
      <c r="H7" s="302"/>
      <c r="I7" s="303"/>
    </row>
    <row r="9" spans="1:9" ht="190.5" customHeight="1" x14ac:dyDescent="0.35">
      <c r="A9" s="304" t="s">
        <v>573</v>
      </c>
      <c r="B9" s="305"/>
      <c r="C9" s="305"/>
      <c r="D9" s="305"/>
      <c r="E9" s="305"/>
      <c r="F9" s="305"/>
      <c r="G9" s="305"/>
      <c r="H9" s="305"/>
      <c r="I9" s="306"/>
    </row>
    <row r="11" spans="1:9" ht="140.25" customHeight="1" x14ac:dyDescent="0.35">
      <c r="A11" s="304" t="s">
        <v>574</v>
      </c>
      <c r="B11" s="305"/>
      <c r="C11" s="305"/>
      <c r="D11" s="305"/>
      <c r="E11" s="305"/>
      <c r="F11" s="305"/>
      <c r="G11" s="305"/>
      <c r="H11" s="305"/>
      <c r="I11" s="306"/>
    </row>
  </sheetData>
  <mergeCells count="6">
    <mergeCell ref="A1:I1"/>
    <mergeCell ref="A5:I5"/>
    <mergeCell ref="A7:I7"/>
    <mergeCell ref="A9:I9"/>
    <mergeCell ref="A11:I11"/>
    <mergeCell ref="A3:I3"/>
  </mergeCells>
  <pageMargins left="0.59055118110236227" right="0.59055118110236227"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269B2-6376-4E29-9DB4-392CD3DE570B}">
  <sheetPr codeName="Sheet35"/>
  <dimension ref="A1:K35"/>
  <sheetViews>
    <sheetView showGridLines="0" view="pageBreakPreview" zoomScale="55" zoomScaleNormal="110" zoomScaleSheetLayoutView="55" workbookViewId="0">
      <selection activeCell="B8" sqref="B8"/>
    </sheetView>
  </sheetViews>
  <sheetFormatPr baseColWidth="10" defaultColWidth="9.33203125" defaultRowHeight="13.5" x14ac:dyDescent="0.35"/>
  <cols>
    <col min="1" max="1" width="5.6640625" style="36" customWidth="1"/>
    <col min="2" max="2" width="81.6640625" style="6" customWidth="1"/>
    <col min="3" max="5" width="5.6640625" style="6" customWidth="1"/>
    <col min="6" max="6" width="15.77734375" style="6" customWidth="1"/>
    <col min="7" max="16384" width="9.33203125" style="6"/>
  </cols>
  <sheetData>
    <row r="1" spans="1:11" s="2" customFormat="1" ht="24" customHeight="1" x14ac:dyDescent="0.35">
      <c r="A1" s="308" t="s">
        <v>602</v>
      </c>
      <c r="B1" s="308"/>
      <c r="C1" s="308"/>
      <c r="D1" s="308"/>
      <c r="E1" s="308"/>
      <c r="F1" s="308"/>
    </row>
    <row r="2" spans="1:11" s="5" customFormat="1" x14ac:dyDescent="0.35">
      <c r="A2" s="50" t="s">
        <v>298</v>
      </c>
      <c r="B2" s="1" t="s">
        <v>169</v>
      </c>
      <c r="C2" s="97" t="s">
        <v>295</v>
      </c>
      <c r="D2" s="98" t="s">
        <v>571</v>
      </c>
      <c r="E2" s="96" t="s">
        <v>572</v>
      </c>
      <c r="F2" s="203" t="s">
        <v>725</v>
      </c>
    </row>
    <row r="3" spans="1:11" s="5" customFormat="1" x14ac:dyDescent="0.35">
      <c r="A3" s="55" t="s">
        <v>77</v>
      </c>
      <c r="B3" s="70" t="s">
        <v>37</v>
      </c>
      <c r="C3" s="101"/>
      <c r="D3" s="105"/>
      <c r="E3" s="55"/>
      <c r="F3" s="217"/>
    </row>
    <row r="4" spans="1:11" s="5" customFormat="1" ht="54" x14ac:dyDescent="0.35">
      <c r="A4" s="50"/>
      <c r="B4" s="31" t="s">
        <v>625</v>
      </c>
      <c r="C4" s="97"/>
      <c r="D4" s="98"/>
      <c r="E4" s="198"/>
      <c r="F4" s="155"/>
    </row>
    <row r="5" spans="1:11" x14ac:dyDescent="0.35">
      <c r="A5" s="55" t="s">
        <v>73</v>
      </c>
      <c r="B5" s="147" t="s">
        <v>533</v>
      </c>
      <c r="C5" s="101"/>
      <c r="D5" s="105"/>
      <c r="E5" s="55"/>
      <c r="F5" s="217" t="s">
        <v>113</v>
      </c>
    </row>
    <row r="6" spans="1:11" x14ac:dyDescent="0.35">
      <c r="A6" s="45" t="s">
        <v>455</v>
      </c>
      <c r="B6" s="148" t="s">
        <v>107</v>
      </c>
      <c r="C6" s="99"/>
      <c r="D6" s="103"/>
      <c r="E6" s="53"/>
      <c r="F6" s="228" t="s">
        <v>113</v>
      </c>
    </row>
    <row r="7" spans="1:11" ht="27" x14ac:dyDescent="0.35">
      <c r="A7" s="4" t="s">
        <v>74</v>
      </c>
      <c r="B7" s="31" t="s">
        <v>534</v>
      </c>
      <c r="C7" s="97"/>
      <c r="D7" s="98"/>
      <c r="E7" s="198"/>
      <c r="F7" s="155"/>
    </row>
    <row r="8" spans="1:11" ht="44" customHeight="1" x14ac:dyDescent="0.35">
      <c r="A8" s="4" t="s">
        <v>66</v>
      </c>
      <c r="B8" s="31" t="s">
        <v>350</v>
      </c>
      <c r="C8" s="97"/>
      <c r="D8" s="98"/>
      <c r="E8" s="198"/>
      <c r="F8" s="155"/>
    </row>
    <row r="9" spans="1:11" x14ac:dyDescent="0.35">
      <c r="A9" s="45" t="s">
        <v>626</v>
      </c>
      <c r="B9" s="149" t="s">
        <v>110</v>
      </c>
      <c r="C9" s="99"/>
      <c r="D9" s="103"/>
      <c r="E9" s="53"/>
      <c r="F9" s="228"/>
      <c r="K9" s="8"/>
    </row>
    <row r="10" spans="1:11" ht="15" customHeight="1" x14ac:dyDescent="0.35">
      <c r="A10" s="74" t="s">
        <v>74</v>
      </c>
      <c r="B10" s="150" t="s">
        <v>307</v>
      </c>
      <c r="C10" s="104"/>
      <c r="D10" s="106"/>
      <c r="E10" s="213"/>
      <c r="F10" s="219"/>
    </row>
    <row r="11" spans="1:11" x14ac:dyDescent="0.35">
      <c r="A11" s="4" t="s">
        <v>69</v>
      </c>
      <c r="B11" s="151" t="s">
        <v>535</v>
      </c>
      <c r="C11" s="97"/>
      <c r="D11" s="98"/>
      <c r="E11" s="198"/>
      <c r="F11" s="155"/>
    </row>
    <row r="12" spans="1:11" x14ac:dyDescent="0.35">
      <c r="A12" s="4" t="s">
        <v>65</v>
      </c>
      <c r="B12" s="151" t="s">
        <v>112</v>
      </c>
      <c r="C12" s="97"/>
      <c r="D12" s="98"/>
      <c r="E12" s="198"/>
      <c r="F12" s="155"/>
    </row>
    <row r="13" spans="1:11" x14ac:dyDescent="0.35">
      <c r="A13" s="4" t="s">
        <v>67</v>
      </c>
      <c r="B13" s="128" t="s">
        <v>727</v>
      </c>
      <c r="C13" s="97"/>
      <c r="D13" s="98"/>
      <c r="E13" s="198"/>
      <c r="F13" s="155"/>
    </row>
    <row r="14" spans="1:11" x14ac:dyDescent="0.35">
      <c r="A14" s="69" t="s">
        <v>66</v>
      </c>
      <c r="B14" s="152" t="s">
        <v>114</v>
      </c>
      <c r="C14" s="104"/>
      <c r="D14" s="106"/>
      <c r="E14" s="213"/>
      <c r="F14" s="219"/>
    </row>
    <row r="15" spans="1:11" x14ac:dyDescent="0.35">
      <c r="A15" s="309" t="s">
        <v>69</v>
      </c>
      <c r="B15" s="128" t="s">
        <v>728</v>
      </c>
      <c r="C15" s="195"/>
      <c r="D15" s="116"/>
      <c r="E15" s="214"/>
      <c r="F15" s="220"/>
    </row>
    <row r="16" spans="1:11" x14ac:dyDescent="0.35">
      <c r="A16" s="310"/>
      <c r="B16" s="128" t="s">
        <v>729</v>
      </c>
      <c r="C16" s="97"/>
      <c r="D16" s="98"/>
      <c r="E16" s="198"/>
      <c r="F16" s="155"/>
    </row>
    <row r="17" spans="1:6" x14ac:dyDescent="0.35">
      <c r="A17" s="4" t="s">
        <v>65</v>
      </c>
      <c r="B17" s="153" t="s">
        <v>376</v>
      </c>
      <c r="C17" s="97"/>
      <c r="D17" s="98"/>
      <c r="E17" s="198"/>
      <c r="F17" s="155"/>
    </row>
    <row r="18" spans="1:6" x14ac:dyDescent="0.35">
      <c r="A18" s="4" t="s">
        <v>67</v>
      </c>
      <c r="B18" s="153" t="s">
        <v>389</v>
      </c>
      <c r="C18" s="97"/>
      <c r="D18" s="98"/>
      <c r="E18" s="198"/>
      <c r="F18" s="155"/>
    </row>
    <row r="19" spans="1:6" x14ac:dyDescent="0.35">
      <c r="A19" s="69" t="s">
        <v>68</v>
      </c>
      <c r="B19" s="152" t="s">
        <v>109</v>
      </c>
      <c r="C19" s="104"/>
      <c r="D19" s="106"/>
      <c r="E19" s="213"/>
      <c r="F19" s="219"/>
    </row>
    <row r="20" spans="1:6" ht="27" x14ac:dyDescent="0.35">
      <c r="A20" s="4" t="s">
        <v>69</v>
      </c>
      <c r="B20" s="128" t="s">
        <v>351</v>
      </c>
      <c r="C20" s="97"/>
      <c r="D20" s="98"/>
      <c r="E20" s="198"/>
      <c r="F20" s="155"/>
    </row>
    <row r="21" spans="1:6" ht="27" x14ac:dyDescent="0.35">
      <c r="A21" s="4" t="s">
        <v>65</v>
      </c>
      <c r="B21" s="10" t="s">
        <v>352</v>
      </c>
      <c r="C21" s="97"/>
      <c r="D21" s="98"/>
      <c r="E21" s="198"/>
      <c r="F21" s="155"/>
    </row>
    <row r="22" spans="1:6" x14ac:dyDescent="0.35">
      <c r="A22" s="45" t="s">
        <v>80</v>
      </c>
      <c r="B22" s="148" t="s">
        <v>108</v>
      </c>
      <c r="C22" s="99"/>
      <c r="D22" s="103"/>
      <c r="E22" s="53"/>
      <c r="F22" s="228"/>
    </row>
    <row r="23" spans="1:6" x14ac:dyDescent="0.35">
      <c r="A23" s="4" t="s">
        <v>74</v>
      </c>
      <c r="B23" s="204" t="s">
        <v>721</v>
      </c>
      <c r="C23" s="97"/>
      <c r="D23" s="98"/>
      <c r="E23" s="198"/>
      <c r="F23" s="155"/>
    </row>
    <row r="24" spans="1:6" x14ac:dyDescent="0.35">
      <c r="A24" s="58" t="s">
        <v>66</v>
      </c>
      <c r="B24" s="154" t="s">
        <v>627</v>
      </c>
      <c r="C24" s="195"/>
      <c r="D24" s="116"/>
      <c r="E24" s="214"/>
      <c r="F24" s="220"/>
    </row>
    <row r="25" spans="1:6" x14ac:dyDescent="0.35">
      <c r="A25" s="4" t="s">
        <v>629</v>
      </c>
      <c r="B25" s="144" t="s">
        <v>628</v>
      </c>
      <c r="C25" s="97"/>
      <c r="D25" s="98"/>
      <c r="E25" s="198"/>
      <c r="F25" s="155"/>
    </row>
    <row r="26" spans="1:6" x14ac:dyDescent="0.35">
      <c r="A26" s="309" t="s">
        <v>630</v>
      </c>
      <c r="B26" s="144" t="s">
        <v>353</v>
      </c>
      <c r="C26" s="97"/>
      <c r="D26" s="98"/>
      <c r="E26" s="198"/>
      <c r="F26" s="155"/>
    </row>
    <row r="27" spans="1:6" x14ac:dyDescent="0.35">
      <c r="A27" s="310"/>
      <c r="B27" s="144" t="s">
        <v>378</v>
      </c>
      <c r="C27" s="97"/>
      <c r="D27" s="98"/>
      <c r="E27" s="198"/>
      <c r="F27" s="155"/>
    </row>
    <row r="28" spans="1:6" ht="45" customHeight="1" x14ac:dyDescent="0.35">
      <c r="A28" s="4" t="s">
        <v>68</v>
      </c>
      <c r="B28" s="130" t="s">
        <v>354</v>
      </c>
      <c r="C28" s="97"/>
      <c r="D28" s="98"/>
      <c r="E28" s="198"/>
      <c r="F28" s="155"/>
    </row>
    <row r="29" spans="1:6" ht="81" x14ac:dyDescent="0.35">
      <c r="A29" s="4" t="s">
        <v>70</v>
      </c>
      <c r="B29" s="130" t="s">
        <v>390</v>
      </c>
      <c r="C29" s="97"/>
      <c r="D29" s="98"/>
      <c r="E29" s="198"/>
      <c r="F29" s="155"/>
    </row>
    <row r="30" spans="1:6" x14ac:dyDescent="0.35">
      <c r="A30" s="4" t="s">
        <v>75</v>
      </c>
      <c r="B30" s="144" t="s">
        <v>672</v>
      </c>
      <c r="C30" s="97"/>
      <c r="D30" s="98"/>
      <c r="E30" s="198"/>
      <c r="F30" s="155"/>
    </row>
    <row r="31" spans="1:6" ht="27" x14ac:dyDescent="0.35">
      <c r="A31" s="186" t="s">
        <v>99</v>
      </c>
      <c r="B31" s="130" t="s">
        <v>674</v>
      </c>
      <c r="C31" s="97"/>
      <c r="D31" s="98"/>
      <c r="E31" s="198"/>
      <c r="F31" s="155"/>
    </row>
    <row r="32" spans="1:6" x14ac:dyDescent="0.35">
      <c r="A32" s="4" t="s">
        <v>78</v>
      </c>
      <c r="B32" s="130" t="s">
        <v>673</v>
      </c>
      <c r="C32" s="97"/>
      <c r="D32" s="98"/>
      <c r="E32" s="198"/>
      <c r="F32" s="155"/>
    </row>
    <row r="33" spans="1:1" x14ac:dyDescent="0.35">
      <c r="A33" s="75"/>
    </row>
    <row r="35" spans="1:1" x14ac:dyDescent="0.35">
      <c r="A35" s="75"/>
    </row>
  </sheetData>
  <mergeCells count="3">
    <mergeCell ref="A1:F1"/>
    <mergeCell ref="A26:A27"/>
    <mergeCell ref="A15:A16"/>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A5" numberStoredAsText="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showGridLines="0" view="pageBreakPreview" zoomScaleNormal="115" zoomScaleSheetLayoutView="100" zoomScalePageLayoutView="115" workbookViewId="0">
      <selection activeCell="I7" sqref="I7"/>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11" s="40" customFormat="1" ht="24" customHeight="1" x14ac:dyDescent="0.35">
      <c r="A1" s="308" t="s">
        <v>666</v>
      </c>
      <c r="B1" s="308"/>
      <c r="C1" s="308"/>
      <c r="D1" s="308"/>
      <c r="E1" s="308"/>
      <c r="F1" s="308"/>
    </row>
    <row r="2" spans="1:11" s="5" customFormat="1" x14ac:dyDescent="0.35">
      <c r="A2" s="50" t="s">
        <v>298</v>
      </c>
      <c r="B2" s="1" t="s">
        <v>169</v>
      </c>
      <c r="C2" s="97" t="s">
        <v>295</v>
      </c>
      <c r="D2" s="98" t="s">
        <v>571</v>
      </c>
      <c r="E2" s="198" t="s">
        <v>572</v>
      </c>
      <c r="F2" s="203" t="s">
        <v>725</v>
      </c>
    </row>
    <row r="3" spans="1:11" s="5" customFormat="1" x14ac:dyDescent="0.35">
      <c r="A3" s="51" t="s">
        <v>77</v>
      </c>
      <c r="B3" s="142" t="s">
        <v>313</v>
      </c>
      <c r="C3" s="107"/>
      <c r="D3" s="117"/>
      <c r="E3" s="56"/>
      <c r="F3" s="51"/>
    </row>
    <row r="4" spans="1:11" x14ac:dyDescent="0.35">
      <c r="A4" s="52"/>
      <c r="B4" s="143" t="s">
        <v>45</v>
      </c>
      <c r="C4" s="196"/>
      <c r="D4" s="102"/>
      <c r="E4" s="215"/>
      <c r="F4" s="225"/>
    </row>
    <row r="5" spans="1:11" x14ac:dyDescent="0.35">
      <c r="A5" s="50"/>
      <c r="B5" s="144" t="s">
        <v>44</v>
      </c>
      <c r="C5" s="97"/>
      <c r="D5" s="98"/>
      <c r="E5" s="198"/>
      <c r="F5" s="155"/>
    </row>
    <row r="6" spans="1:11" ht="15" customHeight="1" x14ac:dyDescent="0.35">
      <c r="A6" s="50"/>
      <c r="B6" s="144" t="s">
        <v>631</v>
      </c>
      <c r="C6" s="97"/>
      <c r="D6" s="98"/>
      <c r="E6" s="198"/>
      <c r="F6" s="155"/>
    </row>
    <row r="7" spans="1:11" x14ac:dyDescent="0.35">
      <c r="A7" s="50"/>
      <c r="B7" s="144" t="s">
        <v>1</v>
      </c>
      <c r="C7" s="97"/>
      <c r="D7" s="98"/>
      <c r="E7" s="198"/>
      <c r="F7" s="155"/>
    </row>
    <row r="8" spans="1:11" x14ac:dyDescent="0.35">
      <c r="A8" s="50"/>
      <c r="B8" s="144" t="s">
        <v>633</v>
      </c>
      <c r="C8" s="97"/>
      <c r="D8" s="98"/>
      <c r="E8" s="198"/>
      <c r="F8" s="155"/>
      <c r="K8" s="8"/>
    </row>
    <row r="9" spans="1:11" x14ac:dyDescent="0.35">
      <c r="A9" s="50"/>
      <c r="B9" s="144" t="s">
        <v>632</v>
      </c>
      <c r="C9" s="97"/>
      <c r="D9" s="98"/>
      <c r="E9" s="198"/>
      <c r="F9" s="155"/>
    </row>
    <row r="10" spans="1:11" x14ac:dyDescent="0.35">
      <c r="A10" s="51" t="s">
        <v>77</v>
      </c>
      <c r="B10" s="145" t="s">
        <v>2</v>
      </c>
      <c r="C10" s="99"/>
      <c r="D10" s="103"/>
      <c r="E10" s="53"/>
      <c r="F10" s="228"/>
    </row>
    <row r="11" spans="1:11" x14ac:dyDescent="0.35">
      <c r="A11" s="50" t="s">
        <v>79</v>
      </c>
      <c r="B11" s="30" t="s">
        <v>308</v>
      </c>
      <c r="C11" s="97"/>
      <c r="D11" s="98"/>
      <c r="E11" s="198"/>
      <c r="F11" s="155"/>
    </row>
    <row r="12" spans="1:11" x14ac:dyDescent="0.35">
      <c r="A12" s="50" t="s">
        <v>76</v>
      </c>
      <c r="B12" s="30" t="s">
        <v>391</v>
      </c>
      <c r="C12" s="97"/>
      <c r="D12" s="98"/>
      <c r="E12" s="198"/>
      <c r="F12" s="155"/>
    </row>
    <row r="13" spans="1:11" x14ac:dyDescent="0.35">
      <c r="A13" s="54" t="s">
        <v>73</v>
      </c>
      <c r="B13" s="145" t="s">
        <v>3</v>
      </c>
      <c r="C13" s="99"/>
      <c r="D13" s="103"/>
      <c r="E13" s="53"/>
      <c r="F13" s="228"/>
    </row>
    <row r="14" spans="1:11" x14ac:dyDescent="0.35">
      <c r="A14" s="50"/>
      <c r="B14" s="30" t="s">
        <v>299</v>
      </c>
      <c r="C14" s="97"/>
      <c r="D14" s="98"/>
      <c r="E14" s="198"/>
      <c r="F14" s="155"/>
    </row>
    <row r="15" spans="1:11" x14ac:dyDescent="0.35">
      <c r="A15" s="50"/>
      <c r="B15" s="30" t="s">
        <v>300</v>
      </c>
      <c r="C15" s="97"/>
      <c r="D15" s="98"/>
      <c r="E15" s="198"/>
      <c r="F15" s="155"/>
    </row>
    <row r="16" spans="1:11" x14ac:dyDescent="0.35">
      <c r="A16" s="50"/>
      <c r="B16" s="16" t="s">
        <v>309</v>
      </c>
      <c r="C16" s="97"/>
      <c r="D16" s="98"/>
      <c r="E16" s="198"/>
      <c r="F16" s="155"/>
    </row>
    <row r="17" spans="1:6" x14ac:dyDescent="0.35">
      <c r="A17" s="311" t="s">
        <v>79</v>
      </c>
      <c r="B17" s="30" t="s">
        <v>301</v>
      </c>
      <c r="C17" s="97"/>
      <c r="D17" s="98"/>
      <c r="E17" s="198"/>
      <c r="F17" s="155"/>
    </row>
    <row r="18" spans="1:6" x14ac:dyDescent="0.35">
      <c r="A18" s="312"/>
      <c r="B18" s="30" t="s">
        <v>302</v>
      </c>
      <c r="C18" s="97"/>
      <c r="D18" s="98"/>
      <c r="E18" s="198"/>
      <c r="F18" s="155"/>
    </row>
    <row r="19" spans="1:6" x14ac:dyDescent="0.35">
      <c r="A19" s="50" t="s">
        <v>76</v>
      </c>
      <c r="B19" s="30" t="s">
        <v>310</v>
      </c>
      <c r="C19" s="97"/>
      <c r="D19" s="98"/>
      <c r="E19" s="198"/>
      <c r="F19" s="155"/>
    </row>
    <row r="20" spans="1:6" x14ac:dyDescent="0.35">
      <c r="A20" s="50" t="s">
        <v>80</v>
      </c>
      <c r="B20" s="30" t="s">
        <v>379</v>
      </c>
      <c r="C20" s="97"/>
      <c r="D20" s="98"/>
      <c r="E20" s="198"/>
      <c r="F20" s="155"/>
    </row>
    <row r="21" spans="1:6" x14ac:dyDescent="0.35">
      <c r="A21" s="50" t="s">
        <v>82</v>
      </c>
      <c r="B21" s="30" t="s">
        <v>311</v>
      </c>
      <c r="C21" s="97"/>
      <c r="D21" s="98"/>
      <c r="E21" s="198"/>
      <c r="F21" s="155"/>
    </row>
    <row r="22" spans="1:6" x14ac:dyDescent="0.35">
      <c r="A22" s="50" t="s">
        <v>83</v>
      </c>
      <c r="B22" s="30" t="s">
        <v>303</v>
      </c>
      <c r="C22" s="97"/>
      <c r="D22" s="98"/>
      <c r="E22" s="198"/>
      <c r="F22" s="155"/>
    </row>
    <row r="23" spans="1:6" x14ac:dyDescent="0.35">
      <c r="A23" s="50" t="s">
        <v>91</v>
      </c>
      <c r="B23" s="30" t="s">
        <v>304</v>
      </c>
      <c r="C23" s="97"/>
      <c r="D23" s="98"/>
      <c r="E23" s="198"/>
      <c r="F23" s="155"/>
    </row>
    <row r="24" spans="1:6" x14ac:dyDescent="0.35">
      <c r="A24" s="55" t="s">
        <v>72</v>
      </c>
      <c r="B24" s="146" t="s">
        <v>312</v>
      </c>
      <c r="C24" s="101"/>
      <c r="D24" s="105"/>
      <c r="E24" s="55"/>
      <c r="F24" s="224"/>
    </row>
    <row r="25" spans="1:6" x14ac:dyDescent="0.35">
      <c r="A25" s="50"/>
      <c r="B25" s="130" t="s">
        <v>305</v>
      </c>
      <c r="C25" s="97"/>
      <c r="D25" s="98"/>
      <c r="E25" s="198"/>
      <c r="F25" s="155"/>
    </row>
    <row r="26" spans="1:6" x14ac:dyDescent="0.35">
      <c r="B26" s="20"/>
    </row>
    <row r="41" spans="2:2" x14ac:dyDescent="0.35">
      <c r="B41" s="42"/>
    </row>
  </sheetData>
  <mergeCells count="2">
    <mergeCell ref="A1:F1"/>
    <mergeCell ref="A17:A18"/>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13 A3"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8"/>
  <sheetViews>
    <sheetView showGridLines="0" view="pageBreakPreview" topLeftCell="A17" zoomScale="60" zoomScaleNormal="110" zoomScalePageLayoutView="115" workbookViewId="0">
      <selection activeCell="Q46" sqref="Q46"/>
    </sheetView>
  </sheetViews>
  <sheetFormatPr baseColWidth="10" defaultColWidth="9.33203125" defaultRowHeight="13.5" x14ac:dyDescent="0.35"/>
  <cols>
    <col min="1" max="1" width="5.6640625" style="5" customWidth="1"/>
    <col min="2" max="2" width="81.6640625" style="39" customWidth="1"/>
    <col min="3" max="4" width="5.6640625" style="6" customWidth="1"/>
    <col min="5" max="5" width="5.6640625" style="5" customWidth="1"/>
    <col min="6" max="6" width="15.77734375" style="38" customWidth="1"/>
    <col min="7" max="16384" width="9.33203125" style="6"/>
  </cols>
  <sheetData>
    <row r="1" spans="1:11" s="13" customFormat="1" ht="24" customHeight="1" x14ac:dyDescent="0.35">
      <c r="A1" s="308" t="s">
        <v>603</v>
      </c>
      <c r="B1" s="308"/>
      <c r="C1" s="308"/>
      <c r="D1" s="308"/>
      <c r="E1" s="308"/>
      <c r="F1" s="308"/>
    </row>
    <row r="2" spans="1:11" s="5" customFormat="1" x14ac:dyDescent="0.35">
      <c r="A2" s="50" t="s">
        <v>298</v>
      </c>
      <c r="B2" s="155" t="s">
        <v>169</v>
      </c>
      <c r="C2" s="97" t="s">
        <v>295</v>
      </c>
      <c r="D2" s="98" t="s">
        <v>571</v>
      </c>
      <c r="E2" s="96" t="s">
        <v>572</v>
      </c>
      <c r="F2" s="203" t="s">
        <v>725</v>
      </c>
    </row>
    <row r="3" spans="1:11" s="5" customFormat="1" x14ac:dyDescent="0.35">
      <c r="A3" s="56" t="s">
        <v>77</v>
      </c>
      <c r="B3" s="156" t="s">
        <v>314</v>
      </c>
      <c r="C3" s="107"/>
      <c r="D3" s="117"/>
      <c r="E3" s="44"/>
      <c r="F3" s="227"/>
    </row>
    <row r="4" spans="1:11" x14ac:dyDescent="0.35">
      <c r="A4" s="57"/>
      <c r="B4" s="157" t="s">
        <v>56</v>
      </c>
      <c r="C4" s="196"/>
      <c r="D4" s="102"/>
      <c r="E4" s="197"/>
      <c r="F4" s="229"/>
    </row>
    <row r="5" spans="1:11" x14ac:dyDescent="0.35">
      <c r="A5" s="45" t="s">
        <v>315</v>
      </c>
      <c r="B5" s="149" t="s">
        <v>37</v>
      </c>
      <c r="C5" s="99"/>
      <c r="D5" s="103"/>
      <c r="E5" s="45"/>
      <c r="F5" s="218"/>
    </row>
    <row r="6" spans="1:11" x14ac:dyDescent="0.35">
      <c r="A6" s="4" t="s">
        <v>74</v>
      </c>
      <c r="B6" s="48" t="s">
        <v>4</v>
      </c>
      <c r="C6" s="97"/>
      <c r="D6" s="98"/>
      <c r="E6" s="96"/>
      <c r="F6" s="230"/>
    </row>
    <row r="7" spans="1:11" x14ac:dyDescent="0.35">
      <c r="A7" s="4" t="s">
        <v>66</v>
      </c>
      <c r="B7" s="48" t="s">
        <v>5</v>
      </c>
      <c r="C7" s="97"/>
      <c r="D7" s="98"/>
      <c r="E7" s="96"/>
      <c r="F7" s="230"/>
    </row>
    <row r="8" spans="1:11" x14ac:dyDescent="0.35">
      <c r="A8" s="45" t="s">
        <v>316</v>
      </c>
      <c r="B8" s="149" t="s">
        <v>319</v>
      </c>
      <c r="C8" s="99"/>
      <c r="D8" s="103"/>
      <c r="E8" s="45"/>
      <c r="F8" s="218"/>
      <c r="K8" s="8"/>
    </row>
    <row r="9" spans="1:11" x14ac:dyDescent="0.35">
      <c r="A9" s="309" t="s">
        <v>74</v>
      </c>
      <c r="B9" s="48" t="s">
        <v>6</v>
      </c>
      <c r="C9" s="97"/>
      <c r="D9" s="98"/>
      <c r="E9" s="96"/>
      <c r="F9" s="230"/>
    </row>
    <row r="10" spans="1:11" x14ac:dyDescent="0.35">
      <c r="A10" s="310"/>
      <c r="B10" s="48" t="s">
        <v>7</v>
      </c>
      <c r="C10" s="97"/>
      <c r="D10" s="98"/>
      <c r="E10" s="96"/>
      <c r="F10" s="230"/>
    </row>
    <row r="11" spans="1:11" x14ac:dyDescent="0.35">
      <c r="A11" s="4" t="s">
        <v>66</v>
      </c>
      <c r="B11" s="48" t="s">
        <v>100</v>
      </c>
      <c r="C11" s="97"/>
      <c r="D11" s="98"/>
      <c r="E11" s="96"/>
      <c r="F11" s="230"/>
    </row>
    <row r="12" spans="1:11" x14ac:dyDescent="0.35">
      <c r="A12" s="45" t="s">
        <v>317</v>
      </c>
      <c r="B12" s="72" t="s">
        <v>110</v>
      </c>
      <c r="C12" s="99"/>
      <c r="D12" s="103"/>
      <c r="E12" s="45"/>
      <c r="F12" s="218"/>
    </row>
    <row r="13" spans="1:11" x14ac:dyDescent="0.35">
      <c r="A13" s="309" t="s">
        <v>74</v>
      </c>
      <c r="B13" s="48" t="s">
        <v>321</v>
      </c>
      <c r="C13" s="97"/>
      <c r="D13" s="98"/>
      <c r="E13" s="96"/>
      <c r="F13" s="230"/>
    </row>
    <row r="14" spans="1:11" x14ac:dyDescent="0.35">
      <c r="A14" s="313"/>
      <c r="B14" s="48" t="s">
        <v>322</v>
      </c>
      <c r="C14" s="97"/>
      <c r="D14" s="98"/>
      <c r="E14" s="96"/>
      <c r="F14" s="230"/>
    </row>
    <row r="15" spans="1:11" x14ac:dyDescent="0.35">
      <c r="A15" s="310"/>
      <c r="B15" s="48" t="s">
        <v>323</v>
      </c>
      <c r="C15" s="97"/>
      <c r="D15" s="98"/>
      <c r="E15" s="96"/>
      <c r="F15" s="230"/>
    </row>
    <row r="16" spans="1:11" x14ac:dyDescent="0.35">
      <c r="A16" s="309" t="s">
        <v>66</v>
      </c>
      <c r="B16" s="31" t="s">
        <v>320</v>
      </c>
      <c r="C16" s="97"/>
      <c r="D16" s="98"/>
      <c r="E16" s="96"/>
      <c r="F16" s="230"/>
    </row>
    <row r="17" spans="1:6" x14ac:dyDescent="0.35">
      <c r="A17" s="313"/>
      <c r="B17" s="48" t="s">
        <v>46</v>
      </c>
      <c r="C17" s="97"/>
      <c r="D17" s="98"/>
      <c r="E17" s="96"/>
      <c r="F17" s="230"/>
    </row>
    <row r="18" spans="1:6" ht="27" x14ac:dyDescent="0.35">
      <c r="A18" s="313"/>
      <c r="B18" s="31" t="s">
        <v>324</v>
      </c>
      <c r="C18" s="97"/>
      <c r="D18" s="98"/>
      <c r="E18" s="96"/>
      <c r="F18" s="230"/>
    </row>
    <row r="19" spans="1:6" x14ac:dyDescent="0.35">
      <c r="A19" s="310"/>
      <c r="B19" s="48" t="s">
        <v>325</v>
      </c>
      <c r="C19" s="97"/>
      <c r="D19" s="98"/>
      <c r="E19" s="96"/>
      <c r="F19" s="230"/>
    </row>
    <row r="20" spans="1:6" x14ac:dyDescent="0.35">
      <c r="A20" s="45" t="s">
        <v>318</v>
      </c>
      <c r="B20" s="158" t="s">
        <v>115</v>
      </c>
      <c r="C20" s="101"/>
      <c r="D20" s="105"/>
      <c r="E20" s="63"/>
      <c r="F20" s="231"/>
    </row>
    <row r="21" spans="1:6" x14ac:dyDescent="0.35">
      <c r="A21" s="279" t="s">
        <v>74</v>
      </c>
      <c r="B21" s="159" t="s">
        <v>8</v>
      </c>
      <c r="C21" s="101"/>
      <c r="D21" s="105"/>
      <c r="E21" s="63"/>
      <c r="F21" s="231"/>
    </row>
    <row r="22" spans="1:6" x14ac:dyDescent="0.35">
      <c r="A22" s="4" t="s">
        <v>634</v>
      </c>
      <c r="B22" s="48" t="s">
        <v>326</v>
      </c>
      <c r="C22" s="97"/>
      <c r="D22" s="98"/>
      <c r="E22" s="96"/>
      <c r="F22" s="230"/>
    </row>
    <row r="23" spans="1:6" x14ac:dyDescent="0.35">
      <c r="A23" s="4" t="s">
        <v>635</v>
      </c>
      <c r="B23" s="48" t="s">
        <v>327</v>
      </c>
      <c r="C23" s="97"/>
      <c r="D23" s="98"/>
      <c r="E23" s="96"/>
      <c r="F23" s="230"/>
    </row>
    <row r="24" spans="1:6" x14ac:dyDescent="0.35">
      <c r="A24" s="314" t="s">
        <v>66</v>
      </c>
      <c r="B24" s="48" t="s">
        <v>328</v>
      </c>
      <c r="C24" s="97"/>
      <c r="D24" s="98"/>
      <c r="E24" s="96"/>
      <c r="F24" s="230"/>
    </row>
    <row r="25" spans="1:6" ht="27" x14ac:dyDescent="0.35">
      <c r="A25" s="315"/>
      <c r="B25" s="48" t="s">
        <v>58</v>
      </c>
      <c r="C25" s="97"/>
      <c r="D25" s="98"/>
      <c r="E25" s="96"/>
      <c r="F25" s="230"/>
    </row>
    <row r="28" spans="1:6" x14ac:dyDescent="0.35">
      <c r="B28" s="37"/>
    </row>
  </sheetData>
  <mergeCells count="5">
    <mergeCell ref="A1:F1"/>
    <mergeCell ref="A9:A10"/>
    <mergeCell ref="A13:A15"/>
    <mergeCell ref="A16:A19"/>
    <mergeCell ref="A24:A25"/>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20"/>
  <sheetViews>
    <sheetView showGridLines="0" showWhiteSpace="0" view="pageBreakPreview" zoomScale="60" zoomScaleNormal="110" workbookViewId="0">
      <selection activeCell="B9" sqref="B9"/>
    </sheetView>
  </sheetViews>
  <sheetFormatPr baseColWidth="10" defaultColWidth="9.33203125" defaultRowHeight="13.5" x14ac:dyDescent="0.35"/>
  <cols>
    <col min="1" max="1" width="5.6640625" style="5" customWidth="1"/>
    <col min="2" max="2" width="81.6640625" style="6" customWidth="1"/>
    <col min="3" max="5" width="5.6640625" style="36" customWidth="1"/>
    <col min="6" max="6" width="15.77734375" style="6" customWidth="1"/>
    <col min="7" max="16384" width="9.33203125" style="6"/>
  </cols>
  <sheetData>
    <row r="1" spans="1:6" s="13" customFormat="1" ht="24" customHeight="1" x14ac:dyDescent="0.35">
      <c r="A1" s="308" t="s">
        <v>604</v>
      </c>
      <c r="B1" s="308"/>
      <c r="C1" s="308"/>
      <c r="D1" s="308"/>
      <c r="E1" s="308"/>
      <c r="F1" s="308"/>
    </row>
    <row r="2" spans="1:6" s="5" customFormat="1" x14ac:dyDescent="0.35">
      <c r="A2" s="49" t="s">
        <v>298</v>
      </c>
      <c r="B2" s="47" t="s">
        <v>169</v>
      </c>
      <c r="C2" s="97" t="s">
        <v>295</v>
      </c>
      <c r="D2" s="98" t="s">
        <v>571</v>
      </c>
      <c r="E2" s="96" t="s">
        <v>572</v>
      </c>
      <c r="F2" s="203" t="s">
        <v>725</v>
      </c>
    </row>
    <row r="3" spans="1:6" s="5" customFormat="1" x14ac:dyDescent="0.35">
      <c r="A3" s="56" t="s">
        <v>77</v>
      </c>
      <c r="B3" s="156" t="s">
        <v>330</v>
      </c>
      <c r="C3" s="107"/>
      <c r="D3" s="117"/>
      <c r="E3" s="56"/>
      <c r="F3" s="236"/>
    </row>
    <row r="4" spans="1:6" s="5" customFormat="1" x14ac:dyDescent="0.35">
      <c r="A4" s="59"/>
      <c r="B4" s="160" t="s">
        <v>329</v>
      </c>
      <c r="C4" s="196"/>
      <c r="D4" s="102"/>
      <c r="E4" s="215"/>
      <c r="F4" s="237"/>
    </row>
    <row r="5" spans="1:6" x14ac:dyDescent="0.35">
      <c r="A5" s="60"/>
      <c r="B5" s="161" t="s">
        <v>331</v>
      </c>
      <c r="C5" s="196"/>
      <c r="D5" s="102"/>
      <c r="E5" s="215"/>
      <c r="F5" s="237"/>
    </row>
    <row r="6" spans="1:6" ht="27" x14ac:dyDescent="0.35">
      <c r="A6" s="61"/>
      <c r="B6" s="131" t="s">
        <v>332</v>
      </c>
      <c r="C6" s="194"/>
      <c r="D6" s="100"/>
      <c r="E6" s="202"/>
      <c r="F6" s="233"/>
    </row>
    <row r="7" spans="1:6" x14ac:dyDescent="0.35">
      <c r="A7" s="45" t="s">
        <v>315</v>
      </c>
      <c r="B7" s="129" t="s">
        <v>319</v>
      </c>
      <c r="C7" s="99"/>
      <c r="D7" s="103"/>
      <c r="E7" s="53"/>
      <c r="F7" s="238"/>
    </row>
    <row r="8" spans="1:6" ht="27" x14ac:dyDescent="0.35">
      <c r="A8" s="4" t="s">
        <v>74</v>
      </c>
      <c r="B8" s="48" t="s">
        <v>333</v>
      </c>
      <c r="C8" s="97"/>
      <c r="D8" s="98"/>
      <c r="E8" s="198"/>
      <c r="F8" s="239"/>
    </row>
    <row r="9" spans="1:6" ht="27" x14ac:dyDescent="0.35">
      <c r="A9" s="62" t="s">
        <v>66</v>
      </c>
      <c r="B9" s="127" t="s">
        <v>360</v>
      </c>
      <c r="C9" s="195"/>
      <c r="D9" s="116"/>
      <c r="E9" s="214"/>
      <c r="F9" s="223"/>
    </row>
    <row r="10" spans="1:6" x14ac:dyDescent="0.35">
      <c r="A10" s="63" t="s">
        <v>316</v>
      </c>
      <c r="B10" s="158" t="s">
        <v>115</v>
      </c>
      <c r="C10" s="101"/>
      <c r="D10" s="105"/>
      <c r="E10" s="55"/>
      <c r="F10" s="240"/>
    </row>
    <row r="11" spans="1:6" ht="27" x14ac:dyDescent="0.35">
      <c r="A11" s="4" t="s">
        <v>336</v>
      </c>
      <c r="B11" s="48" t="s">
        <v>334</v>
      </c>
      <c r="C11" s="97"/>
      <c r="D11" s="98"/>
      <c r="E11" s="198"/>
      <c r="F11" s="239"/>
    </row>
    <row r="12" spans="1:6" ht="14.25" customHeight="1" x14ac:dyDescent="0.35">
      <c r="A12" s="4" t="s">
        <v>337</v>
      </c>
      <c r="B12" s="48" t="s">
        <v>341</v>
      </c>
      <c r="C12" s="97"/>
      <c r="D12" s="98"/>
      <c r="E12" s="198"/>
      <c r="F12" s="239"/>
    </row>
    <row r="13" spans="1:6" ht="14.25" customHeight="1" x14ac:dyDescent="0.35">
      <c r="A13" s="62" t="s">
        <v>66</v>
      </c>
      <c r="B13" s="127" t="s">
        <v>335</v>
      </c>
      <c r="C13" s="195"/>
      <c r="D13" s="116"/>
      <c r="E13" s="214"/>
      <c r="F13" s="223"/>
    </row>
    <row r="14" spans="1:6" ht="14.25" customHeight="1" x14ac:dyDescent="0.35">
      <c r="A14" s="4" t="s">
        <v>68</v>
      </c>
      <c r="B14" s="128" t="s">
        <v>57</v>
      </c>
      <c r="C14" s="97"/>
      <c r="D14" s="98"/>
      <c r="E14" s="198"/>
      <c r="F14" s="239"/>
    </row>
    <row r="15" spans="1:6" ht="14.25" customHeight="1" x14ac:dyDescent="0.35">
      <c r="A15" s="4" t="s">
        <v>70</v>
      </c>
      <c r="B15" s="128" t="s">
        <v>338</v>
      </c>
      <c r="C15" s="97"/>
      <c r="D15" s="98"/>
      <c r="E15" s="198"/>
      <c r="F15" s="235"/>
    </row>
    <row r="16" spans="1:6" ht="14.25" customHeight="1" x14ac:dyDescent="0.35">
      <c r="A16" s="4" t="s">
        <v>75</v>
      </c>
      <c r="B16" s="128" t="s">
        <v>340</v>
      </c>
      <c r="C16" s="97"/>
      <c r="D16" s="98"/>
      <c r="E16" s="198"/>
      <c r="F16" s="239"/>
    </row>
    <row r="17" spans="1:6" ht="75" customHeight="1" x14ac:dyDescent="0.35">
      <c r="A17" s="4" t="s">
        <v>99</v>
      </c>
      <c r="B17" s="128" t="s">
        <v>339</v>
      </c>
      <c r="C17" s="97"/>
      <c r="D17" s="98"/>
      <c r="E17" s="198"/>
      <c r="F17" s="239"/>
    </row>
    <row r="18" spans="1:6" x14ac:dyDescent="0.35">
      <c r="A18" s="33"/>
      <c r="B18" s="34"/>
      <c r="C18" s="35"/>
      <c r="D18" s="35"/>
      <c r="E18" s="35"/>
      <c r="F18" s="34"/>
    </row>
    <row r="19" spans="1:6" x14ac:dyDescent="0.35">
      <c r="B19" s="32"/>
    </row>
    <row r="20" spans="1:6" x14ac:dyDescent="0.35">
      <c r="B20"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K17"/>
  <sheetViews>
    <sheetView showGridLines="0" view="pageBreakPreview" zoomScale="60" zoomScaleNormal="110" workbookViewId="0">
      <selection activeCell="B14" sqref="B14"/>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11" s="13" customFormat="1" ht="24" customHeight="1" x14ac:dyDescent="0.35">
      <c r="A1" s="308" t="s">
        <v>605</v>
      </c>
      <c r="B1" s="308"/>
      <c r="C1" s="308"/>
      <c r="D1" s="308"/>
      <c r="E1" s="308"/>
      <c r="F1" s="308"/>
    </row>
    <row r="2" spans="1:11" s="5" customFormat="1" ht="17.25" customHeight="1" x14ac:dyDescent="0.35">
      <c r="A2" s="50" t="s">
        <v>298</v>
      </c>
      <c r="B2" s="155" t="s">
        <v>169</v>
      </c>
      <c r="C2" s="97" t="s">
        <v>295</v>
      </c>
      <c r="D2" s="98" t="s">
        <v>571</v>
      </c>
      <c r="E2" s="96" t="s">
        <v>572</v>
      </c>
      <c r="F2" s="203" t="s">
        <v>725</v>
      </c>
    </row>
    <row r="3" spans="1:11" ht="17.25" customHeight="1" x14ac:dyDescent="0.35">
      <c r="A3" s="65" t="s">
        <v>77</v>
      </c>
      <c r="B3" s="162" t="s">
        <v>343</v>
      </c>
      <c r="C3" s="108"/>
      <c r="D3" s="109"/>
      <c r="E3" s="246"/>
      <c r="F3" s="242"/>
    </row>
    <row r="4" spans="1:11" ht="17.25" customHeight="1" x14ac:dyDescent="0.35">
      <c r="A4" s="66"/>
      <c r="B4" s="163" t="s">
        <v>342</v>
      </c>
      <c r="C4" s="199"/>
      <c r="D4" s="118"/>
      <c r="E4" s="247"/>
      <c r="F4" s="243"/>
    </row>
    <row r="5" spans="1:11" ht="17.25" customHeight="1" x14ac:dyDescent="0.35">
      <c r="A5" s="4"/>
      <c r="B5" s="128" t="s">
        <v>344</v>
      </c>
      <c r="C5" s="97"/>
      <c r="D5" s="98"/>
      <c r="E5" s="198"/>
      <c r="F5" s="244"/>
    </row>
    <row r="6" spans="1:11" ht="17.25" customHeight="1" x14ac:dyDescent="0.35">
      <c r="A6" s="67"/>
      <c r="B6" s="128" t="s">
        <v>668</v>
      </c>
      <c r="C6" s="97"/>
      <c r="D6" s="98"/>
      <c r="E6" s="198"/>
      <c r="F6" s="244"/>
    </row>
    <row r="7" spans="1:11" ht="17.25" customHeight="1" x14ac:dyDescent="0.35">
      <c r="A7" s="68" t="s">
        <v>73</v>
      </c>
      <c r="B7" s="129" t="s">
        <v>346</v>
      </c>
      <c r="C7" s="99"/>
      <c r="D7" s="103"/>
      <c r="E7" s="53"/>
      <c r="F7" s="216"/>
    </row>
    <row r="8" spans="1:11" ht="17.25" customHeight="1" x14ac:dyDescent="0.35">
      <c r="A8" s="62" t="s">
        <v>79</v>
      </c>
      <c r="B8" s="127" t="s">
        <v>345</v>
      </c>
      <c r="C8" s="195"/>
      <c r="D8" s="116"/>
      <c r="E8" s="214"/>
      <c r="F8" s="220"/>
      <c r="K8" s="8"/>
    </row>
    <row r="9" spans="1:11" ht="17.25" customHeight="1" x14ac:dyDescent="0.35">
      <c r="A9" s="62" t="s">
        <v>76</v>
      </c>
      <c r="B9" s="127" t="s">
        <v>636</v>
      </c>
      <c r="C9" s="195"/>
      <c r="D9" s="116"/>
      <c r="E9" s="214"/>
      <c r="F9" s="220"/>
    </row>
    <row r="10" spans="1:11" ht="42" customHeight="1" x14ac:dyDescent="0.35">
      <c r="A10" s="62" t="s">
        <v>80</v>
      </c>
      <c r="B10" s="127" t="s">
        <v>347</v>
      </c>
      <c r="C10" s="195"/>
      <c r="D10" s="116"/>
      <c r="E10" s="214"/>
      <c r="F10" s="220"/>
    </row>
    <row r="11" spans="1:11" ht="31.5" customHeight="1" x14ac:dyDescent="0.35">
      <c r="A11" s="62" t="s">
        <v>82</v>
      </c>
      <c r="B11" s="127" t="s">
        <v>348</v>
      </c>
      <c r="C11" s="195"/>
      <c r="D11" s="116"/>
      <c r="E11" s="214"/>
      <c r="F11" s="220"/>
    </row>
    <row r="12" spans="1:11" ht="17.25" customHeight="1" x14ac:dyDescent="0.35">
      <c r="A12" s="67" t="s">
        <v>83</v>
      </c>
      <c r="B12" s="128" t="s">
        <v>637</v>
      </c>
      <c r="C12" s="97"/>
      <c r="D12" s="98"/>
      <c r="E12" s="198"/>
      <c r="F12" s="155"/>
    </row>
    <row r="13" spans="1:11" ht="31.5" customHeight="1" x14ac:dyDescent="0.35">
      <c r="A13" s="62" t="s">
        <v>91</v>
      </c>
      <c r="B13" s="127" t="s">
        <v>638</v>
      </c>
      <c r="C13" s="195"/>
      <c r="D13" s="116"/>
      <c r="E13" s="214"/>
      <c r="F13" s="220"/>
    </row>
    <row r="14" spans="1:11" ht="17.25" customHeight="1" x14ac:dyDescent="0.35">
      <c r="A14" s="62" t="s">
        <v>92</v>
      </c>
      <c r="B14" s="127" t="s">
        <v>128</v>
      </c>
      <c r="C14" s="195"/>
      <c r="D14" s="116"/>
      <c r="E14" s="214"/>
      <c r="F14" s="220"/>
    </row>
    <row r="15" spans="1:11" x14ac:dyDescent="0.35">
      <c r="C15" s="5"/>
      <c r="D15" s="5"/>
      <c r="E15" s="5"/>
    </row>
    <row r="16" spans="1:11" x14ac:dyDescent="0.35">
      <c r="B16" s="32"/>
      <c r="C16" s="5"/>
      <c r="D16" s="5"/>
      <c r="E16" s="5"/>
    </row>
    <row r="17" spans="2:2" x14ac:dyDescent="0.35">
      <c r="B17"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A7" numberStoredAsTex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AEA1-F037-4C62-BA54-2C71763CBA17}">
  <sheetPr codeName="Sheet36"/>
  <dimension ref="A1:F34"/>
  <sheetViews>
    <sheetView showGridLines="0" view="pageBreakPreview" topLeftCell="A17" zoomScale="55" zoomScaleNormal="110" zoomScaleSheetLayoutView="55" workbookViewId="0">
      <selection activeCell="J32" sqref="J32"/>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6" s="2" customFormat="1" ht="24" customHeight="1" x14ac:dyDescent="0.35">
      <c r="A1" s="308" t="s">
        <v>601</v>
      </c>
      <c r="B1" s="308"/>
      <c r="C1" s="308"/>
      <c r="D1" s="308"/>
      <c r="E1" s="308"/>
      <c r="F1" s="308"/>
    </row>
    <row r="2" spans="1:6" s="5" customFormat="1" x14ac:dyDescent="0.35">
      <c r="A2" s="50" t="s">
        <v>298</v>
      </c>
      <c r="B2" s="50" t="s">
        <v>169</v>
      </c>
      <c r="C2" s="97" t="s">
        <v>295</v>
      </c>
      <c r="D2" s="98" t="s">
        <v>571</v>
      </c>
      <c r="E2" s="96" t="s">
        <v>572</v>
      </c>
      <c r="F2" s="203" t="s">
        <v>725</v>
      </c>
    </row>
    <row r="3" spans="1:6" s="5" customFormat="1" x14ac:dyDescent="0.35">
      <c r="A3" s="55"/>
      <c r="B3" s="147" t="s">
        <v>355</v>
      </c>
      <c r="C3" s="101"/>
      <c r="D3" s="105"/>
      <c r="E3" s="55"/>
      <c r="F3" s="212"/>
    </row>
    <row r="4" spans="1:6" s="5" customFormat="1" x14ac:dyDescent="0.35">
      <c r="A4" s="50"/>
      <c r="B4" s="30" t="s">
        <v>356</v>
      </c>
      <c r="C4" s="97"/>
      <c r="D4" s="98"/>
      <c r="E4" s="198"/>
      <c r="F4" s="239"/>
    </row>
    <row r="5" spans="1:6" s="5" customFormat="1" x14ac:dyDescent="0.35">
      <c r="A5" s="50"/>
      <c r="B5" s="30" t="s">
        <v>357</v>
      </c>
      <c r="C5" s="97"/>
      <c r="D5" s="98"/>
      <c r="E5" s="198"/>
      <c r="F5" s="239"/>
    </row>
    <row r="6" spans="1:6" s="5" customFormat="1" x14ac:dyDescent="0.35">
      <c r="A6" s="55" t="s">
        <v>77</v>
      </c>
      <c r="B6" s="147" t="s">
        <v>37</v>
      </c>
      <c r="C6" s="101"/>
      <c r="D6" s="105"/>
      <c r="E6" s="55"/>
      <c r="F6" s="240"/>
    </row>
    <row r="7" spans="1:6" s="5" customFormat="1" x14ac:dyDescent="0.35">
      <c r="A7" s="50"/>
      <c r="B7" s="30" t="s">
        <v>349</v>
      </c>
      <c r="C7" s="97"/>
      <c r="D7" s="98"/>
      <c r="E7" s="198"/>
      <c r="F7" s="239"/>
    </row>
    <row r="8" spans="1:6" x14ac:dyDescent="0.35">
      <c r="A8" s="55" t="s">
        <v>73</v>
      </c>
      <c r="B8" s="147" t="s">
        <v>639</v>
      </c>
      <c r="C8" s="101"/>
      <c r="D8" s="105"/>
      <c r="E8" s="55"/>
      <c r="F8" s="240" t="s">
        <v>113</v>
      </c>
    </row>
    <row r="9" spans="1:6" x14ac:dyDescent="0.35">
      <c r="A9" s="45" t="s">
        <v>640</v>
      </c>
      <c r="B9" s="148" t="s">
        <v>107</v>
      </c>
      <c r="C9" s="99"/>
      <c r="D9" s="103"/>
      <c r="E9" s="53"/>
      <c r="F9" s="238" t="s">
        <v>113</v>
      </c>
    </row>
    <row r="10" spans="1:6" ht="29.25" customHeight="1" x14ac:dyDescent="0.35">
      <c r="A10" s="4" t="s">
        <v>74</v>
      </c>
      <c r="B10" s="31" t="s">
        <v>306</v>
      </c>
      <c r="C10" s="97"/>
      <c r="D10" s="98"/>
      <c r="E10" s="198"/>
      <c r="F10" s="239"/>
    </row>
    <row r="11" spans="1:6" ht="40.5" customHeight="1" x14ac:dyDescent="0.35">
      <c r="A11" s="4" t="s">
        <v>66</v>
      </c>
      <c r="B11" s="31" t="s">
        <v>350</v>
      </c>
      <c r="C11" s="97"/>
      <c r="D11" s="98"/>
      <c r="E11" s="198"/>
      <c r="F11" s="239"/>
    </row>
    <row r="12" spans="1:6" x14ac:dyDescent="0.35">
      <c r="A12" s="45" t="s">
        <v>641</v>
      </c>
      <c r="B12" s="149" t="s">
        <v>110</v>
      </c>
      <c r="C12" s="99"/>
      <c r="D12" s="103"/>
      <c r="E12" s="53"/>
      <c r="F12" s="238"/>
    </row>
    <row r="13" spans="1:6" ht="15" customHeight="1" x14ac:dyDescent="0.35">
      <c r="A13" s="69" t="s">
        <v>74</v>
      </c>
      <c r="B13" s="150" t="s">
        <v>307</v>
      </c>
      <c r="C13" s="104"/>
      <c r="D13" s="106"/>
      <c r="E13" s="213"/>
      <c r="F13" s="222"/>
    </row>
    <row r="14" spans="1:6" x14ac:dyDescent="0.35">
      <c r="A14" s="4" t="s">
        <v>69</v>
      </c>
      <c r="B14" s="151" t="s">
        <v>111</v>
      </c>
      <c r="C14" s="97"/>
      <c r="D14" s="98"/>
      <c r="E14" s="198"/>
      <c r="F14" s="239"/>
    </row>
    <row r="15" spans="1:6" x14ac:dyDescent="0.35">
      <c r="A15" s="4" t="s">
        <v>65</v>
      </c>
      <c r="B15" s="151" t="s">
        <v>671</v>
      </c>
      <c r="C15" s="97"/>
      <c r="D15" s="98"/>
      <c r="E15" s="198"/>
      <c r="F15" s="239"/>
    </row>
    <row r="16" spans="1:6" ht="28.5" customHeight="1" x14ac:dyDescent="0.35">
      <c r="A16" s="4" t="s">
        <v>67</v>
      </c>
      <c r="B16" s="128" t="s">
        <v>727</v>
      </c>
      <c r="C16" s="97"/>
      <c r="D16" s="98"/>
      <c r="E16" s="198"/>
      <c r="F16" s="239"/>
    </row>
    <row r="17" spans="1:6" x14ac:dyDescent="0.35">
      <c r="A17" s="69" t="s">
        <v>66</v>
      </c>
      <c r="B17" s="152" t="s">
        <v>114</v>
      </c>
      <c r="C17" s="104"/>
      <c r="D17" s="106"/>
      <c r="E17" s="213"/>
      <c r="F17" s="222"/>
    </row>
    <row r="18" spans="1:6" ht="24.75" customHeight="1" x14ac:dyDescent="0.35">
      <c r="A18" s="309" t="s">
        <v>69</v>
      </c>
      <c r="B18" s="128" t="s">
        <v>728</v>
      </c>
      <c r="C18" s="195"/>
      <c r="D18" s="116"/>
      <c r="E18" s="214"/>
      <c r="F18" s="223"/>
    </row>
    <row r="19" spans="1:6" ht="15.75" customHeight="1" x14ac:dyDescent="0.35">
      <c r="A19" s="310"/>
      <c r="B19" s="128" t="s">
        <v>730</v>
      </c>
      <c r="C19" s="97"/>
      <c r="D19" s="98"/>
      <c r="E19" s="198"/>
      <c r="F19" s="239"/>
    </row>
    <row r="20" spans="1:6" x14ac:dyDescent="0.35">
      <c r="A20" s="4" t="s">
        <v>65</v>
      </c>
      <c r="B20" s="153" t="s">
        <v>376</v>
      </c>
      <c r="C20" s="97"/>
      <c r="D20" s="98"/>
      <c r="E20" s="198"/>
      <c r="F20" s="239"/>
    </row>
    <row r="21" spans="1:6" x14ac:dyDescent="0.35">
      <c r="A21" s="4" t="s">
        <v>67</v>
      </c>
      <c r="B21" s="153" t="s">
        <v>389</v>
      </c>
      <c r="C21" s="97"/>
      <c r="D21" s="98"/>
      <c r="E21" s="198"/>
      <c r="F21" s="239"/>
    </row>
    <row r="22" spans="1:6" x14ac:dyDescent="0.35">
      <c r="A22" s="69" t="s">
        <v>68</v>
      </c>
      <c r="B22" s="152" t="s">
        <v>109</v>
      </c>
      <c r="C22" s="104"/>
      <c r="D22" s="106"/>
      <c r="E22" s="213"/>
      <c r="F22" s="222"/>
    </row>
    <row r="23" spans="1:6" ht="27" x14ac:dyDescent="0.35">
      <c r="A23" s="4" t="s">
        <v>69</v>
      </c>
      <c r="B23" s="128" t="s">
        <v>351</v>
      </c>
      <c r="C23" s="97"/>
      <c r="D23" s="98"/>
      <c r="E23" s="198"/>
      <c r="F23" s="239"/>
    </row>
    <row r="24" spans="1:6" ht="30.5" customHeight="1" x14ac:dyDescent="0.35">
      <c r="A24" s="4" t="s">
        <v>65</v>
      </c>
      <c r="B24" s="10" t="s">
        <v>624</v>
      </c>
      <c r="C24" s="97"/>
      <c r="D24" s="98"/>
      <c r="E24" s="198"/>
      <c r="F24" s="239"/>
    </row>
    <row r="25" spans="1:6" x14ac:dyDescent="0.35">
      <c r="A25" s="45" t="s">
        <v>642</v>
      </c>
      <c r="B25" s="148" t="s">
        <v>108</v>
      </c>
      <c r="C25" s="99"/>
      <c r="D25" s="103"/>
      <c r="E25" s="53"/>
      <c r="F25" s="238"/>
    </row>
    <row r="26" spans="1:6" x14ac:dyDescent="0.35">
      <c r="A26" s="4" t="s">
        <v>74</v>
      </c>
      <c r="B26" s="153" t="s">
        <v>731</v>
      </c>
      <c r="C26" s="97"/>
      <c r="D26" s="98"/>
      <c r="E26" s="198"/>
      <c r="F26" s="239"/>
    </row>
    <row r="27" spans="1:6" x14ac:dyDescent="0.35">
      <c r="A27" s="58" t="s">
        <v>66</v>
      </c>
      <c r="B27" s="164" t="s">
        <v>0</v>
      </c>
      <c r="C27" s="195"/>
      <c r="D27" s="116"/>
      <c r="E27" s="214"/>
      <c r="F27" s="223"/>
    </row>
    <row r="28" spans="1:6" x14ac:dyDescent="0.35">
      <c r="A28" s="4" t="s">
        <v>629</v>
      </c>
      <c r="B28" s="144" t="s">
        <v>377</v>
      </c>
      <c r="C28" s="97"/>
      <c r="D28" s="98"/>
      <c r="E28" s="198"/>
      <c r="F28" s="239"/>
    </row>
    <row r="29" spans="1:6" x14ac:dyDescent="0.35">
      <c r="A29" s="309" t="s">
        <v>630</v>
      </c>
      <c r="B29" s="144" t="s">
        <v>353</v>
      </c>
      <c r="C29" s="97"/>
      <c r="D29" s="98"/>
      <c r="E29" s="198"/>
      <c r="F29" s="239"/>
    </row>
    <row r="30" spans="1:6" x14ac:dyDescent="0.35">
      <c r="A30" s="310"/>
      <c r="B30" s="144" t="s">
        <v>378</v>
      </c>
      <c r="C30" s="97"/>
      <c r="D30" s="98"/>
      <c r="E30" s="198"/>
      <c r="F30" s="239"/>
    </row>
    <row r="31" spans="1:6" ht="45" customHeight="1" x14ac:dyDescent="0.35">
      <c r="A31" s="4" t="s">
        <v>68</v>
      </c>
      <c r="B31" s="130" t="s">
        <v>354</v>
      </c>
      <c r="C31" s="97"/>
      <c r="D31" s="98"/>
      <c r="E31" s="198"/>
      <c r="F31" s="239"/>
    </row>
    <row r="32" spans="1:6" ht="67.5" x14ac:dyDescent="0.35">
      <c r="A32" s="4" t="s">
        <v>70</v>
      </c>
      <c r="B32" s="130" t="s">
        <v>402</v>
      </c>
      <c r="C32" s="97"/>
      <c r="D32" s="98"/>
      <c r="E32" s="198"/>
      <c r="F32" s="155"/>
    </row>
    <row r="33" spans="1:6" x14ac:dyDescent="0.35">
      <c r="A33" s="203" t="s">
        <v>75</v>
      </c>
      <c r="B33" s="205" t="s">
        <v>672</v>
      </c>
      <c r="C33" s="206"/>
      <c r="D33" s="207"/>
      <c r="E33" s="248"/>
      <c r="F33" s="250"/>
    </row>
    <row r="34" spans="1:6" ht="26.25" customHeight="1" x14ac:dyDescent="0.35">
      <c r="A34" s="4" t="s">
        <v>78</v>
      </c>
      <c r="B34" s="130" t="s">
        <v>673</v>
      </c>
      <c r="C34" s="97"/>
      <c r="D34" s="98"/>
      <c r="E34" s="198"/>
      <c r="F34" s="239"/>
    </row>
  </sheetData>
  <mergeCells count="3">
    <mergeCell ref="A1:F1"/>
    <mergeCell ref="A18:A19"/>
    <mergeCell ref="A29:A30"/>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6 A8" numberStoredAsText="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14"/>
  <sheetViews>
    <sheetView showGridLines="0" view="pageBreakPreview" topLeftCell="A2" zoomScale="55" zoomScaleNormal="110" zoomScaleSheetLayoutView="55" workbookViewId="0">
      <selection activeCell="B4" sqref="B4"/>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6" s="13" customFormat="1" ht="24" customHeight="1" x14ac:dyDescent="0.35">
      <c r="A1" s="308" t="s">
        <v>606</v>
      </c>
      <c r="B1" s="308"/>
      <c r="C1" s="308"/>
      <c r="D1" s="308"/>
      <c r="E1" s="308"/>
      <c r="F1" s="308"/>
    </row>
    <row r="2" spans="1:6" s="5" customFormat="1" x14ac:dyDescent="0.35">
      <c r="A2" s="50" t="s">
        <v>298</v>
      </c>
      <c r="B2" s="155" t="s">
        <v>169</v>
      </c>
      <c r="C2" s="97" t="s">
        <v>295</v>
      </c>
      <c r="D2" s="98" t="s">
        <v>571</v>
      </c>
      <c r="E2" s="96" t="s">
        <v>572</v>
      </c>
      <c r="F2" s="203" t="s">
        <v>725</v>
      </c>
    </row>
    <row r="3" spans="1:6" ht="27" customHeight="1" x14ac:dyDescent="0.35">
      <c r="A3" s="135" t="s">
        <v>88</v>
      </c>
      <c r="B3" s="128" t="s">
        <v>358</v>
      </c>
      <c r="C3" s="97"/>
      <c r="D3" s="98"/>
      <c r="E3" s="198"/>
      <c r="F3" s="155"/>
    </row>
    <row r="4" spans="1:6" ht="27" customHeight="1" x14ac:dyDescent="0.35">
      <c r="A4" s="76" t="s">
        <v>89</v>
      </c>
      <c r="B4" s="128" t="s">
        <v>359</v>
      </c>
      <c r="C4" s="97"/>
      <c r="D4" s="98"/>
      <c r="E4" s="198"/>
      <c r="F4" s="155"/>
    </row>
    <row r="5" spans="1:6" ht="27" customHeight="1" x14ac:dyDescent="0.35">
      <c r="A5" s="316" t="s">
        <v>90</v>
      </c>
      <c r="B5" s="128" t="s">
        <v>127</v>
      </c>
      <c r="C5" s="97"/>
      <c r="D5" s="98"/>
      <c r="E5" s="198"/>
      <c r="F5" s="155"/>
    </row>
    <row r="6" spans="1:6" s="22" customFormat="1" ht="27" customHeight="1" x14ac:dyDescent="0.35">
      <c r="A6" s="317"/>
      <c r="B6" s="128" t="s">
        <v>123</v>
      </c>
      <c r="C6" s="97"/>
      <c r="D6" s="98"/>
      <c r="E6" s="198"/>
      <c r="F6" s="155"/>
    </row>
    <row r="7" spans="1:6" ht="27" customHeight="1" x14ac:dyDescent="0.35">
      <c r="A7" s="317"/>
      <c r="B7" s="128" t="s">
        <v>124</v>
      </c>
      <c r="C7" s="97"/>
      <c r="D7" s="98"/>
      <c r="E7" s="198"/>
      <c r="F7" s="155"/>
    </row>
    <row r="8" spans="1:6" ht="27" customHeight="1" x14ac:dyDescent="0.35">
      <c r="A8" s="317"/>
      <c r="B8" s="189" t="s">
        <v>703</v>
      </c>
      <c r="C8" s="97"/>
      <c r="D8" s="98"/>
      <c r="E8" s="198"/>
      <c r="F8" s="155"/>
    </row>
    <row r="9" spans="1:6" ht="27" customHeight="1" x14ac:dyDescent="0.35">
      <c r="A9" s="317"/>
      <c r="B9" s="128" t="s">
        <v>125</v>
      </c>
      <c r="C9" s="97"/>
      <c r="D9" s="98"/>
      <c r="E9" s="198"/>
      <c r="F9" s="155"/>
    </row>
    <row r="10" spans="1:6" ht="27" customHeight="1" x14ac:dyDescent="0.35">
      <c r="A10" s="317"/>
      <c r="B10" s="128" t="s">
        <v>126</v>
      </c>
      <c r="C10" s="97"/>
      <c r="D10" s="98"/>
      <c r="E10" s="198"/>
      <c r="F10" s="155"/>
    </row>
    <row r="11" spans="1:6" ht="27" customHeight="1" x14ac:dyDescent="0.35">
      <c r="A11" s="318"/>
      <c r="B11" s="133" t="s">
        <v>744</v>
      </c>
      <c r="C11" s="97"/>
      <c r="D11" s="98"/>
      <c r="E11" s="198"/>
      <c r="F11" s="155"/>
    </row>
    <row r="14" spans="1:6" x14ac:dyDescent="0.35">
      <c r="B14" s="20"/>
    </row>
  </sheetData>
  <mergeCells count="2">
    <mergeCell ref="A1:F1"/>
    <mergeCell ref="A5:A1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Q28"/>
  <sheetViews>
    <sheetView showGridLines="0" view="pageBreakPreview" zoomScale="60" zoomScaleNormal="110" workbookViewId="0">
      <selection activeCell="B15" sqref="B15"/>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7" width="31" style="6" customWidth="1"/>
    <col min="8" max="16384" width="9.33203125" style="6"/>
  </cols>
  <sheetData>
    <row r="1" spans="1:17" s="13" customFormat="1" ht="24" customHeight="1" x14ac:dyDescent="0.35">
      <c r="A1" s="308" t="s">
        <v>643</v>
      </c>
      <c r="B1" s="308"/>
      <c r="C1" s="308"/>
      <c r="D1" s="308"/>
      <c r="E1" s="308"/>
      <c r="F1" s="308"/>
    </row>
    <row r="2" spans="1:17" s="5" customFormat="1" x14ac:dyDescent="0.35">
      <c r="A2" s="50" t="s">
        <v>298</v>
      </c>
      <c r="B2" s="155" t="s">
        <v>169</v>
      </c>
      <c r="C2" s="97" t="s">
        <v>295</v>
      </c>
      <c r="D2" s="98" t="s">
        <v>571</v>
      </c>
      <c r="E2" s="96" t="s">
        <v>572</v>
      </c>
      <c r="F2" s="203" t="s">
        <v>725</v>
      </c>
    </row>
    <row r="3" spans="1:17" ht="18" customHeight="1" x14ac:dyDescent="0.35">
      <c r="A3" s="45" t="s">
        <v>315</v>
      </c>
      <c r="B3" s="165" t="s">
        <v>110</v>
      </c>
      <c r="C3" s="99"/>
      <c r="D3" s="103"/>
      <c r="E3" s="45"/>
      <c r="F3" s="238" t="s">
        <v>113</v>
      </c>
    </row>
    <row r="4" spans="1:17" ht="15.75" customHeight="1" x14ac:dyDescent="0.35">
      <c r="A4" s="4" t="s">
        <v>74</v>
      </c>
      <c r="B4" s="31" t="s">
        <v>367</v>
      </c>
      <c r="C4" s="97"/>
      <c r="D4" s="98"/>
      <c r="E4" s="96"/>
      <c r="F4" s="239"/>
    </row>
    <row r="5" spans="1:17" s="22" customFormat="1" ht="15.75" customHeight="1" x14ac:dyDescent="0.35">
      <c r="A5" s="50" t="s">
        <v>364</v>
      </c>
      <c r="B5" s="31" t="s">
        <v>362</v>
      </c>
      <c r="C5" s="97"/>
      <c r="D5" s="98"/>
      <c r="E5" s="96"/>
      <c r="F5" s="239"/>
      <c r="G5" s="6"/>
      <c r="H5" s="6"/>
      <c r="I5" s="6"/>
      <c r="J5" s="6"/>
      <c r="N5" s="6"/>
    </row>
    <row r="6" spans="1:17" s="22" customFormat="1" ht="15.75" customHeight="1" x14ac:dyDescent="0.35">
      <c r="A6" s="50" t="s">
        <v>365</v>
      </c>
      <c r="B6" s="31" t="s">
        <v>361</v>
      </c>
      <c r="C6" s="97"/>
      <c r="D6" s="98"/>
      <c r="E6" s="96"/>
      <c r="F6" s="239"/>
      <c r="G6" s="6"/>
      <c r="H6" s="6"/>
      <c r="I6" s="6"/>
      <c r="J6" s="6"/>
      <c r="K6" s="8"/>
      <c r="L6" s="6"/>
      <c r="M6" s="6"/>
      <c r="N6" s="6"/>
      <c r="O6" s="6"/>
      <c r="P6" s="6"/>
      <c r="Q6" s="6"/>
    </row>
    <row r="7" spans="1:17" s="22" customFormat="1" ht="15.75" customHeight="1" x14ac:dyDescent="0.35">
      <c r="A7" s="50" t="s">
        <v>366</v>
      </c>
      <c r="B7" s="130" t="s">
        <v>363</v>
      </c>
      <c r="C7" s="97"/>
      <c r="D7" s="98"/>
      <c r="E7" s="96"/>
      <c r="F7" s="239"/>
    </row>
    <row r="8" spans="1:17" ht="28.5" customHeight="1" x14ac:dyDescent="0.35">
      <c r="A8" s="4" t="s">
        <v>68</v>
      </c>
      <c r="B8" s="128" t="s">
        <v>675</v>
      </c>
      <c r="C8" s="97"/>
      <c r="D8" s="98"/>
      <c r="E8" s="96"/>
      <c r="F8" s="239"/>
    </row>
    <row r="9" spans="1:17" ht="19.5" customHeight="1" x14ac:dyDescent="0.35">
      <c r="A9" s="45" t="s">
        <v>368</v>
      </c>
      <c r="B9" s="129" t="s">
        <v>105</v>
      </c>
      <c r="C9" s="99"/>
      <c r="D9" s="103"/>
      <c r="E9" s="45"/>
      <c r="F9" s="238"/>
    </row>
    <row r="10" spans="1:17" ht="27" x14ac:dyDescent="0.35">
      <c r="A10" s="4" t="s">
        <v>74</v>
      </c>
      <c r="B10" s="128" t="s">
        <v>704</v>
      </c>
      <c r="C10" s="97"/>
      <c r="D10" s="98"/>
      <c r="E10" s="96"/>
      <c r="F10" s="239"/>
    </row>
    <row r="11" spans="1:17" ht="16.5" customHeight="1" x14ac:dyDescent="0.35">
      <c r="A11" s="4" t="s">
        <v>364</v>
      </c>
      <c r="B11" s="128" t="s">
        <v>47</v>
      </c>
      <c r="C11" s="97"/>
      <c r="D11" s="98"/>
      <c r="E11" s="96"/>
      <c r="F11" s="239"/>
    </row>
    <row r="12" spans="1:17" ht="16.5" customHeight="1" x14ac:dyDescent="0.35">
      <c r="A12" s="4" t="s">
        <v>365</v>
      </c>
      <c r="B12" s="48" t="s">
        <v>48</v>
      </c>
      <c r="C12" s="97"/>
      <c r="D12" s="98"/>
      <c r="E12" s="96"/>
      <c r="F12" s="155"/>
    </row>
    <row r="13" spans="1:17" ht="27" x14ac:dyDescent="0.35">
      <c r="A13" s="4" t="s">
        <v>366</v>
      </c>
      <c r="B13" s="31" t="s">
        <v>380</v>
      </c>
      <c r="C13" s="97"/>
      <c r="D13" s="98"/>
      <c r="E13" s="96"/>
      <c r="F13" s="239"/>
    </row>
    <row r="14" spans="1:17" ht="15.75" customHeight="1" x14ac:dyDescent="0.35">
      <c r="A14" s="4" t="s">
        <v>68</v>
      </c>
      <c r="B14" s="128" t="s">
        <v>670</v>
      </c>
      <c r="C14" s="97"/>
      <c r="D14" s="98"/>
      <c r="E14" s="96"/>
      <c r="F14" s="239"/>
    </row>
    <row r="15" spans="1:17" ht="40.5" x14ac:dyDescent="0.35">
      <c r="A15" s="4" t="s">
        <v>70</v>
      </c>
      <c r="B15" s="128" t="s">
        <v>669</v>
      </c>
      <c r="C15" s="97"/>
      <c r="D15" s="98"/>
      <c r="E15" s="96"/>
      <c r="F15" s="239"/>
    </row>
    <row r="16" spans="1:17" ht="17.25" customHeight="1" x14ac:dyDescent="0.35">
      <c r="A16" s="45" t="s">
        <v>90</v>
      </c>
      <c r="B16" s="129" t="s">
        <v>369</v>
      </c>
      <c r="C16" s="99"/>
      <c r="D16" s="103"/>
      <c r="E16" s="45"/>
      <c r="F16" s="238"/>
    </row>
    <row r="17" spans="1:7" ht="16.5" customHeight="1" x14ac:dyDescent="0.35">
      <c r="A17" s="4" t="s">
        <v>74</v>
      </c>
      <c r="B17" s="130" t="s">
        <v>370</v>
      </c>
      <c r="C17" s="97"/>
      <c r="D17" s="98"/>
      <c r="E17" s="96"/>
      <c r="F17" s="239"/>
      <c r="G17" s="20"/>
    </row>
    <row r="18" spans="1:7" ht="16.5" customHeight="1" x14ac:dyDescent="0.35">
      <c r="A18" s="4" t="s">
        <v>364</v>
      </c>
      <c r="B18" s="48" t="s">
        <v>644</v>
      </c>
      <c r="C18" s="97"/>
      <c r="D18" s="98"/>
      <c r="E18" s="96"/>
      <c r="F18" s="239"/>
    </row>
    <row r="19" spans="1:7" ht="16.5" customHeight="1" x14ac:dyDescent="0.35">
      <c r="A19" s="4" t="s">
        <v>365</v>
      </c>
      <c r="B19" s="48" t="s">
        <v>371</v>
      </c>
      <c r="C19" s="97"/>
      <c r="D19" s="98"/>
      <c r="E19" s="96"/>
      <c r="F19" s="239"/>
    </row>
    <row r="20" spans="1:7" s="14" customFormat="1" ht="16.5" customHeight="1" x14ac:dyDescent="0.35">
      <c r="A20" s="50" t="s">
        <v>366</v>
      </c>
      <c r="B20" s="31" t="s">
        <v>676</v>
      </c>
      <c r="C20" s="97"/>
      <c r="D20" s="98"/>
      <c r="E20" s="198"/>
      <c r="F20" s="239"/>
    </row>
    <row r="21" spans="1:7" s="14" customFormat="1" ht="16.5" customHeight="1" x14ac:dyDescent="0.35">
      <c r="A21" s="50" t="s">
        <v>372</v>
      </c>
      <c r="B21" s="31" t="s">
        <v>310</v>
      </c>
      <c r="C21" s="97"/>
      <c r="D21" s="98"/>
      <c r="E21" s="198"/>
      <c r="F21" s="155"/>
    </row>
    <row r="22" spans="1:7" ht="16.5" customHeight="1" x14ac:dyDescent="0.35">
      <c r="A22" s="4" t="s">
        <v>373</v>
      </c>
      <c r="B22" s="48" t="s">
        <v>379</v>
      </c>
      <c r="C22" s="97"/>
      <c r="D22" s="98"/>
      <c r="E22" s="96"/>
      <c r="F22" s="239"/>
    </row>
    <row r="23" spans="1:7" ht="16.5" customHeight="1" x14ac:dyDescent="0.35">
      <c r="A23" s="4" t="s">
        <v>374</v>
      </c>
      <c r="B23" s="48" t="s">
        <v>311</v>
      </c>
      <c r="C23" s="97"/>
      <c r="D23" s="98"/>
      <c r="E23" s="96"/>
      <c r="F23" s="239"/>
    </row>
    <row r="24" spans="1:7" ht="16.5" customHeight="1" x14ac:dyDescent="0.35">
      <c r="A24" s="4" t="s">
        <v>375</v>
      </c>
      <c r="B24" s="48" t="s">
        <v>303</v>
      </c>
      <c r="C24" s="97"/>
      <c r="D24" s="98"/>
      <c r="E24" s="96"/>
      <c r="F24" s="239"/>
    </row>
    <row r="25" spans="1:7" ht="16.5" customHeight="1" x14ac:dyDescent="0.35">
      <c r="A25" s="4" t="s">
        <v>87</v>
      </c>
      <c r="B25" s="48" t="s">
        <v>645</v>
      </c>
      <c r="C25" s="97"/>
      <c r="D25" s="98"/>
      <c r="E25" s="96"/>
      <c r="F25" s="239"/>
    </row>
    <row r="26" spans="1:7" x14ac:dyDescent="0.35">
      <c r="A26" s="36"/>
    </row>
    <row r="27" spans="1:7" x14ac:dyDescent="0.35">
      <c r="A27" s="75"/>
      <c r="B27" s="20"/>
    </row>
    <row r="28" spans="1:7" x14ac:dyDescent="0.35">
      <c r="A28" s="36"/>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36"/>
  <sheetViews>
    <sheetView showGridLines="0" view="pageBreakPreview" topLeftCell="A30" zoomScale="60" zoomScaleNormal="110" workbookViewId="0">
      <selection activeCell="B41" sqref="B41"/>
    </sheetView>
  </sheetViews>
  <sheetFormatPr baseColWidth="10" defaultColWidth="9.33203125" defaultRowHeight="13.5" x14ac:dyDescent="0.35"/>
  <cols>
    <col min="1" max="1" width="5.6640625" style="36" customWidth="1"/>
    <col min="2" max="2" width="81.6640625" style="6" customWidth="1"/>
    <col min="3" max="5" width="5.6640625" style="6" customWidth="1"/>
    <col min="6" max="6" width="15.77734375" style="6" customWidth="1"/>
    <col min="7" max="16384" width="9.33203125" style="6"/>
  </cols>
  <sheetData>
    <row r="1" spans="1:6" s="13" customFormat="1" ht="24" customHeight="1" x14ac:dyDescent="0.35">
      <c r="A1" s="308" t="s">
        <v>646</v>
      </c>
      <c r="B1" s="308"/>
      <c r="C1" s="308"/>
      <c r="D1" s="308"/>
      <c r="E1" s="308"/>
      <c r="F1" s="308"/>
    </row>
    <row r="2" spans="1:6" s="5" customFormat="1" x14ac:dyDescent="0.35">
      <c r="A2" s="50" t="s">
        <v>298</v>
      </c>
      <c r="B2" s="155" t="s">
        <v>169</v>
      </c>
      <c r="C2" s="97" t="s">
        <v>295</v>
      </c>
      <c r="D2" s="98" t="s">
        <v>571</v>
      </c>
      <c r="E2" s="96" t="s">
        <v>572</v>
      </c>
      <c r="F2" s="203" t="s">
        <v>725</v>
      </c>
    </row>
    <row r="3" spans="1:6" x14ac:dyDescent="0.35">
      <c r="A3" s="68" t="s">
        <v>315</v>
      </c>
      <c r="B3" s="165" t="s">
        <v>110</v>
      </c>
      <c r="C3" s="99"/>
      <c r="D3" s="103"/>
      <c r="E3" s="53"/>
      <c r="F3" s="216" t="s">
        <v>113</v>
      </c>
    </row>
    <row r="4" spans="1:6" x14ac:dyDescent="0.35">
      <c r="A4" s="76" t="s">
        <v>406</v>
      </c>
      <c r="B4" s="31" t="s">
        <v>396</v>
      </c>
      <c r="C4" s="97"/>
      <c r="D4" s="98"/>
      <c r="E4" s="198"/>
      <c r="F4" s="155"/>
    </row>
    <row r="5" spans="1:6" x14ac:dyDescent="0.35">
      <c r="A5" s="309" t="s">
        <v>66</v>
      </c>
      <c r="B5" s="128" t="s">
        <v>398</v>
      </c>
      <c r="C5" s="97"/>
      <c r="D5" s="98"/>
      <c r="E5" s="198"/>
      <c r="F5" s="155"/>
    </row>
    <row r="6" spans="1:6" x14ac:dyDescent="0.35">
      <c r="A6" s="310"/>
      <c r="B6" s="128" t="s">
        <v>49</v>
      </c>
      <c r="C6" s="97"/>
      <c r="D6" s="98"/>
      <c r="E6" s="198"/>
      <c r="F6" s="155"/>
    </row>
    <row r="7" spans="1:6" x14ac:dyDescent="0.35">
      <c r="A7" s="76" t="s">
        <v>407</v>
      </c>
      <c r="B7" s="48" t="s">
        <v>397</v>
      </c>
      <c r="C7" s="97"/>
      <c r="D7" s="98"/>
      <c r="E7" s="198"/>
      <c r="F7" s="155"/>
    </row>
    <row r="8" spans="1:6" s="22" customFormat="1" x14ac:dyDescent="0.35">
      <c r="A8" s="45" t="s">
        <v>408</v>
      </c>
      <c r="B8" s="129" t="s">
        <v>405</v>
      </c>
      <c r="C8" s="99"/>
      <c r="D8" s="103"/>
      <c r="E8" s="53"/>
      <c r="F8" s="228"/>
    </row>
    <row r="9" spans="1:6" x14ac:dyDescent="0.35">
      <c r="A9" s="4" t="s">
        <v>69</v>
      </c>
      <c r="B9" s="31" t="s">
        <v>400</v>
      </c>
      <c r="C9" s="97"/>
      <c r="D9" s="98"/>
      <c r="E9" s="198"/>
      <c r="F9" s="155"/>
    </row>
    <row r="10" spans="1:6" x14ac:dyDescent="0.35">
      <c r="A10" s="4" t="s">
        <v>65</v>
      </c>
      <c r="B10" s="31" t="s">
        <v>401</v>
      </c>
      <c r="C10" s="97"/>
      <c r="D10" s="98"/>
      <c r="E10" s="198"/>
      <c r="F10" s="155"/>
    </row>
    <row r="11" spans="1:6" x14ac:dyDescent="0.35">
      <c r="A11" s="4" t="s">
        <v>67</v>
      </c>
      <c r="B11" s="48" t="s">
        <v>403</v>
      </c>
      <c r="C11" s="97"/>
      <c r="D11" s="98"/>
      <c r="E11" s="198"/>
      <c r="F11" s="155"/>
    </row>
    <row r="12" spans="1:6" ht="14.5" x14ac:dyDescent="0.35">
      <c r="A12" s="4" t="s">
        <v>84</v>
      </c>
      <c r="B12" s="48" t="s">
        <v>647</v>
      </c>
      <c r="C12" s="97"/>
      <c r="D12" s="98"/>
      <c r="E12" s="198"/>
      <c r="F12" s="155"/>
    </row>
    <row r="13" spans="1:6" x14ac:dyDescent="0.35">
      <c r="A13" s="4" t="s">
        <v>98</v>
      </c>
      <c r="B13" s="48" t="s">
        <v>537</v>
      </c>
      <c r="C13" s="97"/>
      <c r="D13" s="98"/>
      <c r="E13" s="198"/>
      <c r="F13" s="155"/>
    </row>
    <row r="14" spans="1:6" x14ac:dyDescent="0.35">
      <c r="A14" s="4" t="s">
        <v>85</v>
      </c>
      <c r="B14" s="48" t="s">
        <v>404</v>
      </c>
      <c r="C14" s="97"/>
      <c r="D14" s="98"/>
      <c r="E14" s="198"/>
      <c r="F14" s="155"/>
    </row>
    <row r="15" spans="1:6" x14ac:dyDescent="0.35">
      <c r="A15" s="63" t="s">
        <v>648</v>
      </c>
      <c r="B15" s="158" t="s">
        <v>409</v>
      </c>
      <c r="C15" s="101"/>
      <c r="D15" s="105"/>
      <c r="E15" s="55"/>
      <c r="F15" s="224"/>
    </row>
    <row r="16" spans="1:6" x14ac:dyDescent="0.35">
      <c r="A16" s="309" t="s">
        <v>66</v>
      </c>
      <c r="B16" s="48" t="s">
        <v>538</v>
      </c>
      <c r="C16" s="97"/>
      <c r="D16" s="98"/>
      <c r="E16" s="198"/>
      <c r="F16" s="155"/>
    </row>
    <row r="17" spans="1:6" x14ac:dyDescent="0.35">
      <c r="A17" s="310"/>
      <c r="B17" s="48" t="s">
        <v>539</v>
      </c>
      <c r="C17" s="97"/>
      <c r="D17" s="98"/>
      <c r="E17" s="198"/>
      <c r="F17" s="155"/>
    </row>
    <row r="18" spans="1:6" x14ac:dyDescent="0.35">
      <c r="A18" s="45" t="s">
        <v>649</v>
      </c>
      <c r="B18" s="129" t="s">
        <v>10</v>
      </c>
      <c r="C18" s="99"/>
      <c r="D18" s="103"/>
      <c r="E18" s="53"/>
      <c r="F18" s="228"/>
    </row>
    <row r="19" spans="1:6" x14ac:dyDescent="0.35">
      <c r="A19" s="4" t="s">
        <v>69</v>
      </c>
      <c r="B19" s="48" t="s">
        <v>677</v>
      </c>
      <c r="C19" s="97"/>
      <c r="D19" s="98"/>
      <c r="E19" s="198"/>
      <c r="F19" s="155"/>
    </row>
    <row r="20" spans="1:6" x14ac:dyDescent="0.35">
      <c r="A20" s="4" t="s">
        <v>65</v>
      </c>
      <c r="B20" s="48" t="s">
        <v>678</v>
      </c>
      <c r="C20" s="97"/>
      <c r="D20" s="98"/>
      <c r="E20" s="198"/>
      <c r="F20" s="155"/>
    </row>
    <row r="21" spans="1:6" x14ac:dyDescent="0.35">
      <c r="A21" s="4" t="s">
        <v>67</v>
      </c>
      <c r="B21" s="48" t="s">
        <v>410</v>
      </c>
      <c r="C21" s="97"/>
      <c r="D21" s="98"/>
      <c r="E21" s="198"/>
      <c r="F21" s="155"/>
    </row>
    <row r="22" spans="1:6" x14ac:dyDescent="0.35">
      <c r="A22" s="45" t="s">
        <v>411</v>
      </c>
      <c r="B22" s="129" t="s">
        <v>417</v>
      </c>
      <c r="C22" s="99"/>
      <c r="D22" s="103"/>
      <c r="E22" s="53"/>
      <c r="F22" s="228"/>
    </row>
    <row r="23" spans="1:6" ht="67.5" x14ac:dyDescent="0.35">
      <c r="A23" s="46" t="s">
        <v>74</v>
      </c>
      <c r="B23" s="131" t="s">
        <v>412</v>
      </c>
      <c r="C23" s="194"/>
      <c r="D23" s="100"/>
      <c r="E23" s="202"/>
      <c r="F23" s="251"/>
    </row>
    <row r="24" spans="1:6" x14ac:dyDescent="0.35">
      <c r="A24" s="4" t="s">
        <v>66</v>
      </c>
      <c r="B24" s="48" t="s">
        <v>413</v>
      </c>
      <c r="C24" s="97"/>
      <c r="D24" s="98"/>
      <c r="E24" s="198"/>
      <c r="F24" s="155"/>
    </row>
    <row r="25" spans="1:6" x14ac:dyDescent="0.35">
      <c r="A25" s="4" t="s">
        <v>68</v>
      </c>
      <c r="B25" s="48" t="s">
        <v>414</v>
      </c>
      <c r="C25" s="97"/>
      <c r="D25" s="98"/>
      <c r="E25" s="198"/>
      <c r="F25" s="155"/>
    </row>
    <row r="26" spans="1:6" ht="40.5" x14ac:dyDescent="0.35">
      <c r="A26" s="62" t="s">
        <v>70</v>
      </c>
      <c r="B26" s="127" t="s">
        <v>416</v>
      </c>
      <c r="C26" s="195"/>
      <c r="D26" s="116"/>
      <c r="E26" s="214"/>
      <c r="F26" s="220"/>
    </row>
    <row r="27" spans="1:6" x14ac:dyDescent="0.35">
      <c r="A27" s="4" t="s">
        <v>75</v>
      </c>
      <c r="B27" s="48" t="s">
        <v>415</v>
      </c>
      <c r="C27" s="97"/>
      <c r="D27" s="98"/>
      <c r="E27" s="198"/>
      <c r="F27" s="155"/>
    </row>
    <row r="28" spans="1:6" x14ac:dyDescent="0.35">
      <c r="A28" s="53" t="s">
        <v>318</v>
      </c>
      <c r="B28" s="166" t="s">
        <v>115</v>
      </c>
      <c r="C28" s="99"/>
      <c r="D28" s="103"/>
      <c r="E28" s="53"/>
      <c r="F28" s="228"/>
    </row>
    <row r="29" spans="1:6" x14ac:dyDescent="0.35">
      <c r="A29" s="50" t="s">
        <v>74</v>
      </c>
      <c r="B29" s="130" t="s">
        <v>116</v>
      </c>
      <c r="C29" s="97"/>
      <c r="D29" s="98"/>
      <c r="E29" s="198"/>
      <c r="F29" s="155"/>
    </row>
    <row r="30" spans="1:6" ht="29.25" customHeight="1" x14ac:dyDescent="0.35">
      <c r="A30" s="4" t="s">
        <v>66</v>
      </c>
      <c r="B30" s="48" t="s">
        <v>418</v>
      </c>
      <c r="C30" s="97"/>
      <c r="D30" s="98"/>
      <c r="E30" s="198"/>
      <c r="F30" s="155"/>
    </row>
    <row r="31" spans="1:6" ht="27" x14ac:dyDescent="0.35">
      <c r="A31" s="4" t="s">
        <v>68</v>
      </c>
      <c r="B31" s="48" t="s">
        <v>679</v>
      </c>
      <c r="C31" s="97"/>
      <c r="D31" s="98"/>
      <c r="E31" s="198"/>
      <c r="F31" s="155"/>
    </row>
    <row r="32" spans="1:6" ht="27" x14ac:dyDescent="0.35">
      <c r="A32" s="4" t="s">
        <v>70</v>
      </c>
      <c r="B32" s="128" t="s">
        <v>419</v>
      </c>
      <c r="C32" s="97"/>
      <c r="D32" s="98"/>
      <c r="E32" s="198"/>
      <c r="F32" s="155"/>
    </row>
    <row r="33" spans="1:6" ht="18.75" customHeight="1" x14ac:dyDescent="0.35">
      <c r="A33" s="309" t="s">
        <v>75</v>
      </c>
      <c r="B33" s="48" t="s">
        <v>680</v>
      </c>
      <c r="C33" s="97"/>
      <c r="D33" s="98"/>
      <c r="E33" s="198"/>
      <c r="F33" s="155"/>
    </row>
    <row r="34" spans="1:6" ht="18.75" customHeight="1" x14ac:dyDescent="0.35">
      <c r="A34" s="310"/>
      <c r="B34" s="48" t="s">
        <v>11</v>
      </c>
      <c r="C34" s="97"/>
      <c r="D34" s="98"/>
      <c r="E34" s="198"/>
      <c r="F34" s="155"/>
    </row>
    <row r="36" spans="1:6" x14ac:dyDescent="0.35">
      <c r="A36" s="77"/>
      <c r="B36" s="20"/>
    </row>
  </sheetData>
  <mergeCells count="4">
    <mergeCell ref="A1:F1"/>
    <mergeCell ref="A5:A6"/>
    <mergeCell ref="A16:A17"/>
    <mergeCell ref="A33:A34"/>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DE953-55E8-4766-BD82-B6B8EAE81046}">
  <sheetPr codeName="Sheet1"/>
  <dimension ref="A1:K16"/>
  <sheetViews>
    <sheetView showGridLines="0" view="pageBreakPreview" zoomScale="60" zoomScaleNormal="110" workbookViewId="0">
      <selection activeCell="B11" sqref="B11"/>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11" s="13" customFormat="1" ht="24" customHeight="1" x14ac:dyDescent="0.35">
      <c r="A1" s="308" t="s">
        <v>650</v>
      </c>
      <c r="B1" s="308"/>
      <c r="C1" s="308"/>
      <c r="D1" s="308"/>
      <c r="E1" s="308"/>
      <c r="F1" s="308"/>
    </row>
    <row r="2" spans="1:11" s="5" customFormat="1" x14ac:dyDescent="0.35">
      <c r="A2" s="50" t="s">
        <v>298</v>
      </c>
      <c r="B2" s="155" t="s">
        <v>169</v>
      </c>
      <c r="C2" s="97" t="s">
        <v>295</v>
      </c>
      <c r="D2" s="98" t="s">
        <v>571</v>
      </c>
      <c r="E2" s="198" t="s">
        <v>572</v>
      </c>
      <c r="F2" s="203" t="s">
        <v>725</v>
      </c>
    </row>
    <row r="3" spans="1:11" s="5" customFormat="1" ht="18" customHeight="1" x14ac:dyDescent="0.35">
      <c r="A3" s="56" t="s">
        <v>77</v>
      </c>
      <c r="B3" s="156" t="s">
        <v>355</v>
      </c>
      <c r="C3" s="107"/>
      <c r="D3" s="117"/>
      <c r="E3" s="56"/>
      <c r="F3" s="252"/>
    </row>
    <row r="4" spans="1:11" s="5" customFormat="1" ht="48" customHeight="1" x14ac:dyDescent="0.35">
      <c r="A4" s="59"/>
      <c r="B4" s="160" t="s">
        <v>681</v>
      </c>
      <c r="C4" s="196"/>
      <c r="D4" s="102"/>
      <c r="E4" s="215"/>
      <c r="F4" s="211"/>
    </row>
    <row r="5" spans="1:11" ht="16.5" customHeight="1" x14ac:dyDescent="0.35">
      <c r="A5" s="78" t="s">
        <v>315</v>
      </c>
      <c r="B5" s="162" t="s">
        <v>319</v>
      </c>
      <c r="C5" s="108"/>
      <c r="D5" s="109"/>
      <c r="E5" s="246"/>
      <c r="F5" s="253"/>
    </row>
    <row r="6" spans="1:11" ht="17.25" customHeight="1" x14ac:dyDescent="0.35">
      <c r="A6" s="4" t="s">
        <v>74</v>
      </c>
      <c r="B6" s="130" t="s">
        <v>420</v>
      </c>
      <c r="C6" s="200"/>
      <c r="D6" s="201"/>
      <c r="E6" s="198"/>
      <c r="F6" s="221"/>
    </row>
    <row r="7" spans="1:11" ht="29.25" customHeight="1" x14ac:dyDescent="0.35">
      <c r="A7" s="4" t="s">
        <v>66</v>
      </c>
      <c r="B7" s="130" t="s">
        <v>421</v>
      </c>
      <c r="C7" s="97"/>
      <c r="D7" s="98"/>
      <c r="E7" s="198"/>
      <c r="F7" s="221"/>
    </row>
    <row r="8" spans="1:11" ht="15.75" customHeight="1" x14ac:dyDescent="0.35">
      <c r="A8" s="45" t="s">
        <v>316</v>
      </c>
      <c r="B8" s="129" t="s">
        <v>115</v>
      </c>
      <c r="C8" s="99"/>
      <c r="D8" s="103"/>
      <c r="E8" s="53"/>
      <c r="F8" s="193"/>
      <c r="K8" s="8"/>
    </row>
    <row r="9" spans="1:11" ht="32.25" customHeight="1" x14ac:dyDescent="0.35">
      <c r="A9" s="4" t="s">
        <v>74</v>
      </c>
      <c r="B9" s="48" t="s">
        <v>540</v>
      </c>
      <c r="C9" s="97"/>
      <c r="D9" s="98"/>
      <c r="E9" s="198"/>
      <c r="F9" s="221"/>
    </row>
    <row r="10" spans="1:11" ht="16.5" customHeight="1" x14ac:dyDescent="0.35">
      <c r="A10" s="4" t="s">
        <v>66</v>
      </c>
      <c r="B10" s="48" t="s">
        <v>682</v>
      </c>
      <c r="C10" s="97"/>
      <c r="D10" s="98"/>
      <c r="E10" s="198"/>
      <c r="F10" s="221"/>
    </row>
    <row r="11" spans="1:11" ht="20.25" customHeight="1" x14ac:dyDescent="0.35">
      <c r="A11" s="4" t="s">
        <v>68</v>
      </c>
      <c r="B11" s="128" t="s">
        <v>422</v>
      </c>
      <c r="C11" s="97"/>
      <c r="D11" s="98"/>
      <c r="E11" s="198"/>
      <c r="F11" s="221"/>
    </row>
    <row r="12" spans="1:11" x14ac:dyDescent="0.35">
      <c r="A12" s="309" t="s">
        <v>70</v>
      </c>
      <c r="B12" s="48" t="s">
        <v>423</v>
      </c>
      <c r="C12" s="97"/>
      <c r="D12" s="98"/>
      <c r="E12" s="198"/>
      <c r="F12" s="221"/>
    </row>
    <row r="13" spans="1:11" ht="18" customHeight="1" x14ac:dyDescent="0.35">
      <c r="A13" s="310"/>
      <c r="B13" s="48" t="s">
        <v>424</v>
      </c>
      <c r="C13" s="97"/>
      <c r="D13" s="98"/>
      <c r="E13" s="198"/>
      <c r="F13" s="221"/>
    </row>
    <row r="16" spans="1:11" x14ac:dyDescent="0.35">
      <c r="A16" s="12"/>
      <c r="B16" s="20"/>
    </row>
  </sheetData>
  <mergeCells count="2">
    <mergeCell ref="A1:F1"/>
    <mergeCell ref="A12:A13"/>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numberStoredAsText="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27A26-3520-4AAE-80B2-6C3810D15539}">
  <sheetPr codeName="Sheet3"/>
  <dimension ref="A1:K18"/>
  <sheetViews>
    <sheetView showGridLines="0" view="pageBreakPreview" zoomScaleNormal="110" zoomScaleSheetLayoutView="100" workbookViewId="0">
      <selection activeCell="B15" sqref="B15"/>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11" s="13" customFormat="1" ht="24" customHeight="1" x14ac:dyDescent="0.35">
      <c r="A1" s="319" t="s">
        <v>702</v>
      </c>
      <c r="B1" s="320"/>
      <c r="C1" s="320"/>
      <c r="D1" s="320"/>
      <c r="E1" s="320"/>
      <c r="F1" s="321"/>
    </row>
    <row r="2" spans="1:11" s="13" customFormat="1" ht="69.75" customHeight="1" x14ac:dyDescent="0.35">
      <c r="A2" s="319" t="s">
        <v>741</v>
      </c>
      <c r="B2" s="320"/>
      <c r="C2" s="320"/>
      <c r="D2" s="320"/>
      <c r="E2" s="320"/>
      <c r="F2" s="321"/>
    </row>
    <row r="3" spans="1:11" s="5" customFormat="1" x14ac:dyDescent="0.35">
      <c r="A3" s="50" t="s">
        <v>298</v>
      </c>
      <c r="B3" s="155" t="s">
        <v>169</v>
      </c>
      <c r="C3" s="97" t="s">
        <v>295</v>
      </c>
      <c r="D3" s="98" t="s">
        <v>571</v>
      </c>
      <c r="E3" s="96" t="s">
        <v>572</v>
      </c>
      <c r="F3" s="203" t="s">
        <v>725</v>
      </c>
    </row>
    <row r="4" spans="1:11" s="5" customFormat="1" ht="18" customHeight="1" x14ac:dyDescent="0.35">
      <c r="A4" s="55" t="s">
        <v>77</v>
      </c>
      <c r="B4" s="167" t="s">
        <v>425</v>
      </c>
      <c r="C4" s="101"/>
      <c r="D4" s="105"/>
      <c r="E4" s="55"/>
      <c r="F4" s="234"/>
    </row>
    <row r="5" spans="1:11" ht="18" customHeight="1" x14ac:dyDescent="0.35">
      <c r="A5" s="83"/>
      <c r="B5" s="128" t="s">
        <v>138</v>
      </c>
      <c r="C5" s="97"/>
      <c r="D5" s="98"/>
      <c r="E5" s="198"/>
      <c r="F5" s="221"/>
    </row>
    <row r="6" spans="1:11" ht="18" customHeight="1" x14ac:dyDescent="0.35">
      <c r="A6" s="4"/>
      <c r="B6" s="128" t="s">
        <v>139</v>
      </c>
      <c r="C6" s="97"/>
      <c r="D6" s="98"/>
      <c r="E6" s="198"/>
      <c r="F6" s="221"/>
    </row>
    <row r="7" spans="1:11" ht="18" customHeight="1" x14ac:dyDescent="0.35">
      <c r="A7" s="4"/>
      <c r="B7" s="128" t="s">
        <v>140</v>
      </c>
      <c r="C7" s="97"/>
      <c r="D7" s="98"/>
      <c r="E7" s="198"/>
      <c r="F7" s="221"/>
    </row>
    <row r="8" spans="1:11" ht="18" customHeight="1" x14ac:dyDescent="0.35">
      <c r="A8" s="4"/>
      <c r="B8" s="128" t="s">
        <v>141</v>
      </c>
      <c r="C8" s="97"/>
      <c r="D8" s="98"/>
      <c r="E8" s="198"/>
      <c r="F8" s="221"/>
    </row>
    <row r="9" spans="1:11" ht="18" customHeight="1" x14ac:dyDescent="0.35">
      <c r="A9" s="63" t="s">
        <v>73</v>
      </c>
      <c r="B9" s="132" t="s">
        <v>426</v>
      </c>
      <c r="C9" s="101"/>
      <c r="D9" s="105"/>
      <c r="E9" s="55"/>
      <c r="F9" s="234"/>
    </row>
    <row r="10" spans="1:11" ht="18" customHeight="1" x14ac:dyDescent="0.35">
      <c r="A10" s="83"/>
      <c r="B10" s="128" t="s">
        <v>428</v>
      </c>
      <c r="C10" s="97"/>
      <c r="D10" s="98"/>
      <c r="E10" s="198"/>
      <c r="F10" s="221"/>
      <c r="K10" s="8"/>
    </row>
    <row r="11" spans="1:11" s="22" customFormat="1" ht="18" customHeight="1" x14ac:dyDescent="0.35">
      <c r="A11" s="4"/>
      <c r="B11" s="128" t="s">
        <v>429</v>
      </c>
      <c r="C11" s="97"/>
      <c r="D11" s="98"/>
      <c r="E11" s="198"/>
      <c r="F11" s="221"/>
    </row>
    <row r="12" spans="1:11" s="22" customFormat="1" ht="45" customHeight="1" x14ac:dyDescent="0.35">
      <c r="A12" s="4"/>
      <c r="B12" s="128" t="s">
        <v>541</v>
      </c>
      <c r="C12" s="97"/>
      <c r="D12" s="98"/>
      <c r="E12" s="198"/>
      <c r="F12" s="221"/>
    </row>
    <row r="13" spans="1:11" ht="18" customHeight="1" x14ac:dyDescent="0.35">
      <c r="A13" s="63" t="s">
        <v>72</v>
      </c>
      <c r="B13" s="132" t="s">
        <v>427</v>
      </c>
      <c r="C13" s="101"/>
      <c r="D13" s="105"/>
      <c r="E13" s="55"/>
      <c r="F13" s="234"/>
    </row>
    <row r="14" spans="1:11" ht="18" customHeight="1" x14ac:dyDescent="0.35">
      <c r="A14" s="83"/>
      <c r="B14" s="128" t="s">
        <v>757</v>
      </c>
      <c r="C14" s="97"/>
      <c r="D14" s="98"/>
      <c r="E14" s="198"/>
      <c r="F14" s="221"/>
    </row>
    <row r="15" spans="1:11" ht="18" customHeight="1" x14ac:dyDescent="0.35">
      <c r="A15" s="83"/>
      <c r="B15" s="128" t="s">
        <v>758</v>
      </c>
      <c r="C15" s="97"/>
      <c r="D15" s="98"/>
      <c r="E15" s="198"/>
      <c r="F15" s="221"/>
    </row>
    <row r="18" spans="1:2" x14ac:dyDescent="0.35">
      <c r="A18" s="12"/>
      <c r="B18" s="20"/>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4 A9 A13" numberStoredAsText="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F31"/>
  <sheetViews>
    <sheetView showGridLines="0" view="pageBreakPreview" topLeftCell="A15" zoomScale="60" zoomScaleNormal="110" workbookViewId="0">
      <selection activeCell="B20" sqref="B20"/>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6" s="13" customFormat="1" ht="24" customHeight="1" x14ac:dyDescent="0.35">
      <c r="A1" s="308" t="s">
        <v>654</v>
      </c>
      <c r="B1" s="308"/>
      <c r="C1" s="308"/>
      <c r="D1" s="308"/>
      <c r="E1" s="308"/>
      <c r="F1" s="308"/>
    </row>
    <row r="2" spans="1:6" s="5" customFormat="1" x14ac:dyDescent="0.35">
      <c r="A2" s="50" t="s">
        <v>298</v>
      </c>
      <c r="B2" s="155" t="s">
        <v>169</v>
      </c>
      <c r="C2" s="97" t="s">
        <v>295</v>
      </c>
      <c r="D2" s="98" t="s">
        <v>571</v>
      </c>
      <c r="E2" s="96" t="s">
        <v>572</v>
      </c>
      <c r="F2" s="203" t="s">
        <v>725</v>
      </c>
    </row>
    <row r="3" spans="1:6" s="5" customFormat="1" x14ac:dyDescent="0.35">
      <c r="A3" s="55" t="s">
        <v>77</v>
      </c>
      <c r="B3" s="167" t="s">
        <v>355</v>
      </c>
      <c r="C3" s="101"/>
      <c r="D3" s="105"/>
      <c r="E3" s="55"/>
      <c r="F3" s="224"/>
    </row>
    <row r="4" spans="1:6" s="5" customFormat="1" ht="14.25" customHeight="1" x14ac:dyDescent="0.35">
      <c r="A4" s="50"/>
      <c r="B4" s="31" t="s">
        <v>430</v>
      </c>
      <c r="C4" s="97"/>
      <c r="D4" s="98"/>
      <c r="E4" s="198"/>
      <c r="F4" s="155"/>
    </row>
    <row r="5" spans="1:6" s="5" customFormat="1" ht="14.25" customHeight="1" x14ac:dyDescent="0.35">
      <c r="A5" s="50"/>
      <c r="B5" s="31" t="s">
        <v>431</v>
      </c>
      <c r="C5" s="97"/>
      <c r="D5" s="98"/>
      <c r="E5" s="198"/>
      <c r="F5" s="155"/>
    </row>
    <row r="6" spans="1:6" s="5" customFormat="1" x14ac:dyDescent="0.35">
      <c r="A6" s="55" t="s">
        <v>651</v>
      </c>
      <c r="B6" s="168" t="s">
        <v>110</v>
      </c>
      <c r="C6" s="101"/>
      <c r="D6" s="105"/>
      <c r="E6" s="55"/>
      <c r="F6" s="224"/>
    </row>
    <row r="7" spans="1:6" ht="27" x14ac:dyDescent="0.35">
      <c r="A7" s="76" t="s">
        <v>74</v>
      </c>
      <c r="B7" s="130" t="s">
        <v>437</v>
      </c>
      <c r="C7" s="97"/>
      <c r="D7" s="98"/>
      <c r="E7" s="198"/>
      <c r="F7" s="155"/>
    </row>
    <row r="8" spans="1:6" ht="15" customHeight="1" x14ac:dyDescent="0.35">
      <c r="A8" s="76" t="s">
        <v>66</v>
      </c>
      <c r="B8" s="130" t="s">
        <v>432</v>
      </c>
      <c r="C8" s="97"/>
      <c r="D8" s="98"/>
      <c r="E8" s="198"/>
      <c r="F8" s="155"/>
    </row>
    <row r="9" spans="1:6" ht="15" customHeight="1" x14ac:dyDescent="0.35">
      <c r="A9" s="4" t="s">
        <v>68</v>
      </c>
      <c r="B9" s="128" t="s">
        <v>433</v>
      </c>
      <c r="C9" s="97"/>
      <c r="D9" s="98"/>
      <c r="E9" s="198"/>
      <c r="F9" s="155"/>
    </row>
    <row r="10" spans="1:6" ht="15" customHeight="1" x14ac:dyDescent="0.35">
      <c r="A10" s="4" t="s">
        <v>70</v>
      </c>
      <c r="B10" s="128" t="s">
        <v>434</v>
      </c>
      <c r="C10" s="97"/>
      <c r="D10" s="98"/>
      <c r="E10" s="198"/>
      <c r="F10" s="155"/>
    </row>
    <row r="11" spans="1:6" ht="27" x14ac:dyDescent="0.35">
      <c r="A11" s="4" t="s">
        <v>75</v>
      </c>
      <c r="B11" s="130" t="s">
        <v>435</v>
      </c>
      <c r="C11" s="97"/>
      <c r="D11" s="98"/>
      <c r="E11" s="198"/>
      <c r="F11" s="155"/>
    </row>
    <row r="12" spans="1:6" ht="27" x14ac:dyDescent="0.35">
      <c r="A12" s="4" t="s">
        <v>99</v>
      </c>
      <c r="B12" s="128" t="s">
        <v>732</v>
      </c>
      <c r="C12" s="97"/>
      <c r="D12" s="98"/>
      <c r="E12" s="198"/>
      <c r="F12" s="155"/>
    </row>
    <row r="13" spans="1:6" x14ac:dyDescent="0.35">
      <c r="A13" s="55" t="s">
        <v>652</v>
      </c>
      <c r="B13" s="129" t="s">
        <v>115</v>
      </c>
      <c r="C13" s="101"/>
      <c r="D13" s="105"/>
      <c r="E13" s="55"/>
      <c r="F13" s="224"/>
    </row>
    <row r="14" spans="1:6" ht="14.25" customHeight="1" x14ac:dyDescent="0.35">
      <c r="A14" s="309" t="s">
        <v>74</v>
      </c>
      <c r="B14" s="48" t="s">
        <v>733</v>
      </c>
      <c r="C14" s="97"/>
      <c r="D14" s="98"/>
      <c r="E14" s="198"/>
      <c r="F14" s="155"/>
    </row>
    <row r="15" spans="1:6" ht="14.25" customHeight="1" x14ac:dyDescent="0.35">
      <c r="A15" s="310"/>
      <c r="B15" s="48" t="s">
        <v>436</v>
      </c>
      <c r="C15" s="97"/>
      <c r="D15" s="98"/>
      <c r="E15" s="198"/>
      <c r="F15" s="155"/>
    </row>
    <row r="16" spans="1:6" x14ac:dyDescent="0.35">
      <c r="A16" s="309" t="s">
        <v>66</v>
      </c>
      <c r="B16" s="48" t="s">
        <v>683</v>
      </c>
      <c r="C16" s="97"/>
      <c r="D16" s="98"/>
      <c r="E16" s="198"/>
      <c r="F16" s="155"/>
    </row>
    <row r="17" spans="1:6" ht="41.5" x14ac:dyDescent="0.35">
      <c r="A17" s="310"/>
      <c r="B17" s="48" t="s">
        <v>439</v>
      </c>
      <c r="C17" s="97"/>
      <c r="D17" s="98"/>
      <c r="E17" s="198"/>
      <c r="F17" s="155"/>
    </row>
    <row r="18" spans="1:6" ht="27" x14ac:dyDescent="0.35">
      <c r="A18" s="4" t="s">
        <v>68</v>
      </c>
      <c r="B18" s="48" t="s">
        <v>684</v>
      </c>
      <c r="C18" s="97"/>
      <c r="D18" s="98"/>
      <c r="E18" s="198"/>
      <c r="F18" s="155"/>
    </row>
    <row r="19" spans="1:6" ht="15" customHeight="1" x14ac:dyDescent="0.35">
      <c r="A19" s="55" t="s">
        <v>653</v>
      </c>
      <c r="B19" s="132" t="s">
        <v>438</v>
      </c>
      <c r="C19" s="101"/>
      <c r="D19" s="105"/>
      <c r="E19" s="55"/>
      <c r="F19" s="224"/>
    </row>
    <row r="20" spans="1:6" ht="40.5" x14ac:dyDescent="0.35">
      <c r="A20" s="4" t="s">
        <v>74</v>
      </c>
      <c r="B20" s="128" t="s">
        <v>441</v>
      </c>
      <c r="C20" s="97"/>
      <c r="D20" s="98"/>
      <c r="E20" s="198"/>
      <c r="F20" s="155"/>
    </row>
    <row r="21" spans="1:6" ht="26.25" customHeight="1" x14ac:dyDescent="0.35">
      <c r="A21" s="4" t="s">
        <v>66</v>
      </c>
      <c r="B21" s="128" t="s">
        <v>705</v>
      </c>
      <c r="C21" s="97"/>
      <c r="D21" s="98"/>
      <c r="E21" s="198"/>
      <c r="F21" s="155"/>
    </row>
    <row r="22" spans="1:6" ht="32.25" customHeight="1" x14ac:dyDescent="0.35">
      <c r="A22" s="4" t="s">
        <v>68</v>
      </c>
      <c r="B22" s="48" t="s">
        <v>706</v>
      </c>
      <c r="C22" s="97"/>
      <c r="D22" s="98"/>
      <c r="E22" s="198"/>
      <c r="F22" s="155"/>
    </row>
    <row r="23" spans="1:6" ht="27" x14ac:dyDescent="0.35">
      <c r="A23" s="309" t="s">
        <v>70</v>
      </c>
      <c r="B23" s="48" t="s">
        <v>440</v>
      </c>
      <c r="C23" s="97"/>
      <c r="D23" s="98"/>
      <c r="E23" s="198"/>
      <c r="F23" s="155"/>
    </row>
    <row r="24" spans="1:6" ht="40.5" x14ac:dyDescent="0.35">
      <c r="A24" s="310"/>
      <c r="B24" s="128" t="s">
        <v>707</v>
      </c>
      <c r="C24" s="97"/>
      <c r="D24" s="98"/>
      <c r="E24" s="198"/>
      <c r="F24" s="155"/>
    </row>
    <row r="25" spans="1:6" ht="27" x14ac:dyDescent="0.35">
      <c r="A25" s="46" t="s">
        <v>75</v>
      </c>
      <c r="B25" s="131" t="s">
        <v>442</v>
      </c>
      <c r="C25" s="97"/>
      <c r="D25" s="98"/>
      <c r="E25" s="198"/>
      <c r="F25" s="155"/>
    </row>
    <row r="26" spans="1:6" ht="15.75" customHeight="1" x14ac:dyDescent="0.35">
      <c r="A26" s="4" t="s">
        <v>99</v>
      </c>
      <c r="B26" s="48" t="s">
        <v>12</v>
      </c>
      <c r="C26" s="97"/>
      <c r="D26" s="98"/>
      <c r="E26" s="198"/>
      <c r="F26" s="155"/>
    </row>
    <row r="27" spans="1:6" ht="15.75" customHeight="1" x14ac:dyDescent="0.35">
      <c r="A27" s="4" t="s">
        <v>78</v>
      </c>
      <c r="B27" s="128" t="s">
        <v>443</v>
      </c>
      <c r="C27" s="97"/>
      <c r="D27" s="98"/>
      <c r="E27" s="198"/>
      <c r="F27" s="155"/>
    </row>
    <row r="28" spans="1:6" x14ac:dyDescent="0.35">
      <c r="A28" s="36"/>
      <c r="B28" s="38"/>
    </row>
    <row r="29" spans="1:6" x14ac:dyDescent="0.35">
      <c r="A29" s="36"/>
      <c r="B29" s="38"/>
    </row>
    <row r="30" spans="1:6" x14ac:dyDescent="0.35">
      <c r="A30" s="77"/>
      <c r="B30" s="82"/>
    </row>
    <row r="31" spans="1:6" x14ac:dyDescent="0.35">
      <c r="A31" s="36"/>
      <c r="B31" s="38"/>
    </row>
  </sheetData>
  <mergeCells count="4">
    <mergeCell ref="A1:F1"/>
    <mergeCell ref="A14:A15"/>
    <mergeCell ref="A16:A17"/>
    <mergeCell ref="A23:A24"/>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numberStoredAsText="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G30"/>
  <sheetViews>
    <sheetView showGridLines="0" view="pageBreakPreview" topLeftCell="A4" zoomScale="55" zoomScaleNormal="110" zoomScaleSheetLayoutView="55" workbookViewId="0">
      <selection activeCell="O43" sqref="O43"/>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7" s="13" customFormat="1" ht="24" customHeight="1" x14ac:dyDescent="0.35">
      <c r="A1" s="308" t="s">
        <v>655</v>
      </c>
      <c r="B1" s="308"/>
      <c r="C1" s="308"/>
      <c r="D1" s="308"/>
      <c r="E1" s="308"/>
      <c r="F1" s="308"/>
    </row>
    <row r="2" spans="1:7" s="13" customFormat="1" ht="39.75" customHeight="1" x14ac:dyDescent="0.35">
      <c r="A2" s="308" t="s">
        <v>734</v>
      </c>
      <c r="B2" s="308"/>
      <c r="C2" s="308"/>
      <c r="D2" s="308"/>
      <c r="E2" s="308"/>
      <c r="F2" s="308"/>
    </row>
    <row r="3" spans="1:7" s="5" customFormat="1" x14ac:dyDescent="0.35">
      <c r="A3" s="50" t="s">
        <v>298</v>
      </c>
      <c r="B3" s="322" t="s">
        <v>169</v>
      </c>
      <c r="C3" s="322"/>
      <c r="D3" s="322"/>
      <c r="E3" s="322"/>
      <c r="F3" s="322"/>
    </row>
    <row r="4" spans="1:7" s="5" customFormat="1" ht="12.75" customHeight="1" x14ac:dyDescent="0.35">
      <c r="A4" s="55" t="s">
        <v>77</v>
      </c>
      <c r="B4" s="323" t="s">
        <v>445</v>
      </c>
      <c r="C4" s="323"/>
      <c r="D4" s="323"/>
      <c r="E4" s="323"/>
      <c r="F4" s="323"/>
    </row>
    <row r="5" spans="1:7" s="5" customFormat="1" ht="12.75" customHeight="1" x14ac:dyDescent="0.35">
      <c r="A5" s="50"/>
      <c r="B5" s="324" t="s">
        <v>444</v>
      </c>
      <c r="C5" s="324"/>
      <c r="D5" s="324"/>
      <c r="E5" s="324"/>
      <c r="F5" s="324"/>
    </row>
    <row r="6" spans="1:7" s="5" customFormat="1" ht="12.75" customHeight="1" x14ac:dyDescent="0.35">
      <c r="A6" s="50"/>
      <c r="B6" s="324" t="s">
        <v>446</v>
      </c>
      <c r="C6" s="324"/>
      <c r="D6" s="324"/>
      <c r="E6" s="324"/>
      <c r="F6" s="324"/>
    </row>
    <row r="7" spans="1:7" s="5" customFormat="1" ht="12.75" customHeight="1" x14ac:dyDescent="0.35">
      <c r="A7" s="50"/>
      <c r="B7" s="324" t="s">
        <v>447</v>
      </c>
      <c r="C7" s="324"/>
      <c r="D7" s="324"/>
      <c r="E7" s="324"/>
      <c r="F7" s="324"/>
    </row>
    <row r="8" spans="1:7" s="5" customFormat="1" ht="12.75" customHeight="1" x14ac:dyDescent="0.35">
      <c r="A8" s="50"/>
      <c r="B8" s="324" t="s">
        <v>542</v>
      </c>
      <c r="C8" s="324"/>
      <c r="D8" s="324"/>
      <c r="E8" s="324"/>
      <c r="F8" s="324"/>
    </row>
    <row r="9" spans="1:7" ht="12.75" customHeight="1" x14ac:dyDescent="0.35">
      <c r="A9" s="45" t="s">
        <v>448</v>
      </c>
      <c r="B9" s="325" t="s">
        <v>50</v>
      </c>
      <c r="C9" s="325"/>
      <c r="D9" s="325"/>
      <c r="E9" s="325"/>
      <c r="F9" s="325"/>
    </row>
    <row r="10" spans="1:7" ht="12.75" customHeight="1" x14ac:dyDescent="0.35">
      <c r="A10" s="4" t="s">
        <v>74</v>
      </c>
      <c r="B10" s="326" t="s">
        <v>458</v>
      </c>
      <c r="C10" s="326"/>
      <c r="D10" s="326"/>
      <c r="E10" s="326"/>
      <c r="F10" s="326"/>
    </row>
    <row r="11" spans="1:7" ht="12.75" customHeight="1" x14ac:dyDescent="0.35">
      <c r="A11" s="4" t="s">
        <v>364</v>
      </c>
      <c r="B11" s="327" t="s">
        <v>449</v>
      </c>
      <c r="C11" s="327"/>
      <c r="D11" s="327"/>
      <c r="E11" s="327"/>
      <c r="F11" s="327"/>
    </row>
    <row r="12" spans="1:7" ht="12.75" customHeight="1" x14ac:dyDescent="0.35">
      <c r="A12" s="4" t="s">
        <v>365</v>
      </c>
      <c r="B12" s="327" t="s">
        <v>450</v>
      </c>
      <c r="C12" s="327"/>
      <c r="D12" s="327"/>
      <c r="E12" s="327"/>
      <c r="F12" s="327"/>
      <c r="G12" s="8"/>
    </row>
    <row r="13" spans="1:7" ht="12.75" customHeight="1" x14ac:dyDescent="0.35">
      <c r="A13" s="45" t="s">
        <v>368</v>
      </c>
      <c r="B13" s="325" t="s">
        <v>51</v>
      </c>
      <c r="C13" s="325"/>
      <c r="D13" s="325"/>
      <c r="E13" s="325"/>
      <c r="F13" s="325"/>
    </row>
    <row r="14" spans="1:7" ht="12.75" customHeight="1" x14ac:dyDescent="0.35">
      <c r="A14" s="4" t="s">
        <v>399</v>
      </c>
      <c r="B14" s="326" t="s">
        <v>451</v>
      </c>
      <c r="C14" s="326"/>
      <c r="D14" s="326"/>
      <c r="E14" s="326"/>
      <c r="F14" s="326"/>
    </row>
    <row r="15" spans="1:7" ht="12.75" customHeight="1" x14ac:dyDescent="0.35">
      <c r="A15" s="4" t="s">
        <v>337</v>
      </c>
      <c r="B15" s="326" t="s">
        <v>452</v>
      </c>
      <c r="C15" s="326"/>
      <c r="D15" s="326"/>
      <c r="E15" s="326"/>
      <c r="F15" s="326"/>
    </row>
    <row r="16" spans="1:7" ht="12.75" customHeight="1" x14ac:dyDescent="0.35">
      <c r="A16" s="4" t="s">
        <v>364</v>
      </c>
      <c r="B16" s="326" t="s">
        <v>466</v>
      </c>
      <c r="C16" s="326"/>
      <c r="D16" s="326"/>
      <c r="E16" s="326"/>
      <c r="F16" s="326"/>
    </row>
    <row r="17" spans="1:6" ht="12.75" customHeight="1" x14ac:dyDescent="0.35">
      <c r="A17" s="4" t="s">
        <v>365</v>
      </c>
      <c r="B17" s="326" t="s">
        <v>454</v>
      </c>
      <c r="C17" s="326"/>
      <c r="D17" s="326"/>
      <c r="E17" s="326"/>
      <c r="F17" s="326"/>
    </row>
    <row r="18" spans="1:6" ht="12.75" customHeight="1" x14ac:dyDescent="0.35">
      <c r="A18" s="68" t="s">
        <v>455</v>
      </c>
      <c r="B18" s="325" t="s">
        <v>52</v>
      </c>
      <c r="C18" s="325"/>
      <c r="D18" s="325"/>
      <c r="E18" s="325"/>
      <c r="F18" s="325"/>
    </row>
    <row r="19" spans="1:6" ht="12.75" customHeight="1" x14ac:dyDescent="0.35">
      <c r="A19" s="4" t="s">
        <v>74</v>
      </c>
      <c r="B19" s="326" t="s">
        <v>465</v>
      </c>
      <c r="C19" s="326"/>
      <c r="D19" s="326"/>
      <c r="E19" s="326"/>
      <c r="F19" s="326"/>
    </row>
    <row r="20" spans="1:6" ht="12.75" customHeight="1" x14ac:dyDescent="0.35">
      <c r="A20" s="4" t="s">
        <v>66</v>
      </c>
      <c r="B20" s="326" t="s">
        <v>457</v>
      </c>
      <c r="C20" s="326"/>
      <c r="D20" s="326"/>
      <c r="E20" s="326"/>
      <c r="F20" s="326"/>
    </row>
    <row r="21" spans="1:6" ht="12.75" customHeight="1" x14ac:dyDescent="0.35">
      <c r="A21" s="45" t="s">
        <v>456</v>
      </c>
      <c r="B21" s="325" t="s">
        <v>53</v>
      </c>
      <c r="C21" s="325"/>
      <c r="D21" s="325"/>
      <c r="E21" s="325"/>
      <c r="F21" s="325"/>
    </row>
    <row r="22" spans="1:6" ht="12.75" customHeight="1" x14ac:dyDescent="0.35">
      <c r="A22" s="4" t="s">
        <v>74</v>
      </c>
      <c r="B22" s="326" t="s">
        <v>462</v>
      </c>
      <c r="C22" s="326"/>
      <c r="D22" s="326"/>
      <c r="E22" s="326"/>
      <c r="F22" s="326"/>
    </row>
    <row r="23" spans="1:6" ht="12.75" customHeight="1" x14ac:dyDescent="0.35">
      <c r="A23" s="4" t="s">
        <v>66</v>
      </c>
      <c r="B23" s="326" t="s">
        <v>464</v>
      </c>
      <c r="C23" s="326"/>
      <c r="D23" s="326"/>
      <c r="E23" s="326"/>
      <c r="F23" s="326"/>
    </row>
    <row r="24" spans="1:6" ht="12.75" customHeight="1" x14ac:dyDescent="0.35">
      <c r="A24" s="68" t="s">
        <v>71</v>
      </c>
      <c r="B24" s="325" t="s">
        <v>453</v>
      </c>
      <c r="C24" s="325"/>
      <c r="D24" s="325"/>
      <c r="E24" s="325"/>
      <c r="F24" s="325"/>
    </row>
    <row r="25" spans="1:6" ht="12.75" customHeight="1" x14ac:dyDescent="0.35">
      <c r="A25" s="76" t="s">
        <v>88</v>
      </c>
      <c r="B25" s="326" t="s">
        <v>463</v>
      </c>
      <c r="C25" s="326"/>
      <c r="D25" s="326"/>
      <c r="E25" s="326"/>
      <c r="F25" s="326"/>
    </row>
    <row r="26" spans="1:6" ht="12.75" customHeight="1" x14ac:dyDescent="0.35">
      <c r="A26" s="76" t="s">
        <v>104</v>
      </c>
      <c r="B26" s="326" t="s">
        <v>460</v>
      </c>
      <c r="C26" s="326"/>
      <c r="D26" s="326"/>
      <c r="E26" s="326"/>
      <c r="F26" s="326"/>
    </row>
    <row r="27" spans="1:6" ht="12.75" customHeight="1" x14ac:dyDescent="0.35">
      <c r="A27" s="4" t="s">
        <v>459</v>
      </c>
      <c r="B27" s="326" t="s">
        <v>461</v>
      </c>
      <c r="C27" s="326"/>
      <c r="D27" s="326"/>
      <c r="E27" s="326"/>
      <c r="F27" s="326"/>
    </row>
    <row r="30" spans="1:6" x14ac:dyDescent="0.35">
      <c r="B30" s="20"/>
    </row>
  </sheetData>
  <mergeCells count="27">
    <mergeCell ref="B16:F16"/>
    <mergeCell ref="B17:F17"/>
    <mergeCell ref="B19:F19"/>
    <mergeCell ref="B27:F27"/>
    <mergeCell ref="B18:F18"/>
    <mergeCell ref="B21:F21"/>
    <mergeCell ref="B24:F24"/>
    <mergeCell ref="B20:F20"/>
    <mergeCell ref="B22:F22"/>
    <mergeCell ref="B23:F23"/>
    <mergeCell ref="B25:F25"/>
    <mergeCell ref="B26:F26"/>
    <mergeCell ref="B11:F11"/>
    <mergeCell ref="B12:F12"/>
    <mergeCell ref="B13:F13"/>
    <mergeCell ref="B14:F14"/>
    <mergeCell ref="B15:F15"/>
    <mergeCell ref="B6:F6"/>
    <mergeCell ref="B7:F7"/>
    <mergeCell ref="B8:F8"/>
    <mergeCell ref="B9:F9"/>
    <mergeCell ref="B10:F10"/>
    <mergeCell ref="A1:F1"/>
    <mergeCell ref="A2:F2"/>
    <mergeCell ref="B3:F3"/>
    <mergeCell ref="B4:F4"/>
    <mergeCell ref="B5:F5"/>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4 A24" numberStoredAsText="1"/>
  </ignoredError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F20"/>
  <sheetViews>
    <sheetView showGridLines="0" view="pageBreakPreview" zoomScale="60" zoomScaleNormal="110" workbookViewId="0">
      <selection activeCell="F3" sqref="F3"/>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6" s="13" customFormat="1" ht="24" customHeight="1" x14ac:dyDescent="0.35">
      <c r="A1" s="308" t="s">
        <v>608</v>
      </c>
      <c r="B1" s="308"/>
      <c r="C1" s="308"/>
      <c r="D1" s="308"/>
      <c r="E1" s="308"/>
      <c r="F1" s="308"/>
    </row>
    <row r="2" spans="1:6" s="5" customFormat="1" x14ac:dyDescent="0.35">
      <c r="A2" s="50" t="s">
        <v>298</v>
      </c>
      <c r="B2" s="155" t="s">
        <v>169</v>
      </c>
      <c r="C2" s="97" t="s">
        <v>295</v>
      </c>
      <c r="D2" s="98" t="s">
        <v>571</v>
      </c>
      <c r="E2" s="96" t="s">
        <v>572</v>
      </c>
      <c r="F2" s="203" t="s">
        <v>725</v>
      </c>
    </row>
    <row r="3" spans="1:6" s="5" customFormat="1" ht="15" customHeight="1" x14ac:dyDescent="0.35">
      <c r="A3" s="55" t="s">
        <v>77</v>
      </c>
      <c r="B3" s="167" t="s">
        <v>355</v>
      </c>
      <c r="C3" s="101"/>
      <c r="D3" s="105"/>
      <c r="E3" s="55"/>
      <c r="F3" s="240"/>
    </row>
    <row r="4" spans="1:6" ht="21.75" customHeight="1" x14ac:dyDescent="0.35">
      <c r="A4" s="83"/>
      <c r="B4" s="130" t="s">
        <v>467</v>
      </c>
      <c r="C4" s="97"/>
      <c r="D4" s="98"/>
      <c r="E4" s="198"/>
      <c r="F4" s="239"/>
    </row>
    <row r="5" spans="1:6" ht="31.5" customHeight="1" x14ac:dyDescent="0.35">
      <c r="A5" s="4"/>
      <c r="B5" s="130" t="s">
        <v>657</v>
      </c>
      <c r="C5" s="97"/>
      <c r="D5" s="98"/>
      <c r="E5" s="198"/>
      <c r="F5" s="239"/>
    </row>
    <row r="6" spans="1:6" ht="31.5" customHeight="1" x14ac:dyDescent="0.35">
      <c r="A6" s="4"/>
      <c r="B6" s="130" t="s">
        <v>468</v>
      </c>
      <c r="C6" s="97"/>
      <c r="D6" s="98"/>
      <c r="E6" s="198"/>
      <c r="F6" s="239"/>
    </row>
    <row r="7" spans="1:6" ht="21.75" customHeight="1" x14ac:dyDescent="0.35">
      <c r="A7" s="4"/>
      <c r="B7" s="130" t="s">
        <v>656</v>
      </c>
      <c r="C7" s="97"/>
      <c r="D7" s="98"/>
      <c r="E7" s="198"/>
      <c r="F7" s="239"/>
    </row>
    <row r="8" spans="1:6" ht="15.75" customHeight="1" x14ac:dyDescent="0.35">
      <c r="A8" s="68" t="s">
        <v>315</v>
      </c>
      <c r="B8" s="129" t="s">
        <v>543</v>
      </c>
      <c r="C8" s="99"/>
      <c r="D8" s="103"/>
      <c r="E8" s="53"/>
      <c r="F8" s="240"/>
    </row>
    <row r="9" spans="1:6" ht="18.75" customHeight="1" x14ac:dyDescent="0.35">
      <c r="A9" s="76" t="s">
        <v>74</v>
      </c>
      <c r="B9" s="130" t="s">
        <v>735</v>
      </c>
      <c r="C9" s="97"/>
      <c r="D9" s="98"/>
      <c r="E9" s="198"/>
      <c r="F9" s="239"/>
    </row>
    <row r="10" spans="1:6" ht="31.5" customHeight="1" x14ac:dyDescent="0.35">
      <c r="A10" s="4" t="s">
        <v>66</v>
      </c>
      <c r="B10" s="128" t="s">
        <v>685</v>
      </c>
      <c r="C10" s="97"/>
      <c r="D10" s="98"/>
      <c r="E10" s="198"/>
      <c r="F10" s="239"/>
    </row>
    <row r="11" spans="1:6" ht="16.5" customHeight="1" x14ac:dyDescent="0.35">
      <c r="A11" s="45" t="s">
        <v>316</v>
      </c>
      <c r="B11" s="129" t="s">
        <v>106</v>
      </c>
      <c r="C11" s="99"/>
      <c r="D11" s="103"/>
      <c r="E11" s="53"/>
      <c r="F11" s="240"/>
    </row>
    <row r="12" spans="1:6" ht="32.25" customHeight="1" x14ac:dyDescent="0.35">
      <c r="A12" s="4" t="s">
        <v>74</v>
      </c>
      <c r="B12" s="130" t="s">
        <v>686</v>
      </c>
      <c r="C12" s="97"/>
      <c r="D12" s="98"/>
      <c r="E12" s="198"/>
      <c r="F12" s="239"/>
    </row>
    <row r="13" spans="1:6" s="22" customFormat="1" ht="55.5" customHeight="1" x14ac:dyDescent="0.35">
      <c r="A13" s="311" t="s">
        <v>364</v>
      </c>
      <c r="B13" s="130" t="s">
        <v>471</v>
      </c>
      <c r="C13" s="97"/>
      <c r="D13" s="98"/>
      <c r="E13" s="198"/>
      <c r="F13" s="239"/>
    </row>
    <row r="14" spans="1:6" ht="46.5" customHeight="1" x14ac:dyDescent="0.35">
      <c r="A14" s="312"/>
      <c r="B14" s="31" t="s">
        <v>470</v>
      </c>
      <c r="C14" s="97"/>
      <c r="D14" s="98"/>
      <c r="E14" s="198"/>
      <c r="F14" s="239"/>
    </row>
    <row r="15" spans="1:6" ht="86.25" customHeight="1" x14ac:dyDescent="0.35">
      <c r="A15" s="50" t="s">
        <v>365</v>
      </c>
      <c r="B15" s="31" t="s">
        <v>469</v>
      </c>
      <c r="C15" s="97"/>
      <c r="D15" s="98"/>
      <c r="E15" s="198"/>
      <c r="F15" s="239"/>
    </row>
    <row r="16" spans="1:6" ht="40.5" x14ac:dyDescent="0.35">
      <c r="A16" s="62" t="s">
        <v>68</v>
      </c>
      <c r="B16" s="127" t="s">
        <v>544</v>
      </c>
      <c r="C16" s="195"/>
      <c r="D16" s="116"/>
      <c r="E16" s="214"/>
      <c r="F16" s="223"/>
    </row>
    <row r="17" spans="1:6" ht="48" customHeight="1" x14ac:dyDescent="0.35">
      <c r="A17" s="62" t="s">
        <v>70</v>
      </c>
      <c r="B17" s="127" t="s">
        <v>472</v>
      </c>
      <c r="C17" s="195"/>
      <c r="D17" s="116"/>
      <c r="E17" s="214"/>
      <c r="F17" s="223"/>
    </row>
    <row r="20" spans="1:6" x14ac:dyDescent="0.35">
      <c r="B20" s="20"/>
    </row>
  </sheetData>
  <mergeCells count="2">
    <mergeCell ref="A1:F1"/>
    <mergeCell ref="A13:A14"/>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numberStoredAsText="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F46"/>
  <sheetViews>
    <sheetView showGridLines="0" view="pageBreakPreview" zoomScale="60" zoomScaleNormal="110" workbookViewId="0">
      <selection activeCell="F3" sqref="F3"/>
    </sheetView>
  </sheetViews>
  <sheetFormatPr baseColWidth="10" defaultColWidth="9.33203125" defaultRowHeight="13.5" x14ac:dyDescent="0.35"/>
  <cols>
    <col min="1" max="1" width="5.6640625" style="5" customWidth="1"/>
    <col min="2" max="2" width="81.6640625" style="38" customWidth="1"/>
    <col min="3" max="5" width="5.6640625" style="6" customWidth="1"/>
    <col min="6" max="6" width="15.77734375" style="6" customWidth="1"/>
    <col min="7" max="16384" width="9.33203125" style="6"/>
  </cols>
  <sheetData>
    <row r="1" spans="1:6" s="13" customFormat="1" ht="24" customHeight="1" x14ac:dyDescent="0.35">
      <c r="A1" s="308" t="s">
        <v>609</v>
      </c>
      <c r="B1" s="308"/>
      <c r="C1" s="308"/>
      <c r="D1" s="308"/>
      <c r="E1" s="308"/>
      <c r="F1" s="308"/>
    </row>
    <row r="2" spans="1:6" s="5" customFormat="1" x14ac:dyDescent="0.35">
      <c r="A2" s="50" t="s">
        <v>298</v>
      </c>
      <c r="B2" s="19" t="s">
        <v>169</v>
      </c>
      <c r="C2" s="97" t="s">
        <v>295</v>
      </c>
      <c r="D2" s="98" t="s">
        <v>571</v>
      </c>
      <c r="E2" s="96" t="s">
        <v>572</v>
      </c>
      <c r="F2" s="203" t="s">
        <v>725</v>
      </c>
    </row>
    <row r="3" spans="1:6" s="5" customFormat="1" x14ac:dyDescent="0.35">
      <c r="A3" s="55" t="s">
        <v>77</v>
      </c>
      <c r="B3" s="79" t="s">
        <v>355</v>
      </c>
      <c r="C3" s="101"/>
      <c r="D3" s="105"/>
      <c r="E3" s="55"/>
      <c r="F3" s="234"/>
    </row>
    <row r="4" spans="1:6" x14ac:dyDescent="0.35">
      <c r="A4" s="4"/>
      <c r="B4" s="9" t="s">
        <v>473</v>
      </c>
      <c r="C4" s="200"/>
      <c r="D4" s="201"/>
      <c r="E4" s="198"/>
      <c r="F4" s="221"/>
    </row>
    <row r="5" spans="1:6" x14ac:dyDescent="0.35">
      <c r="A5" s="4"/>
      <c r="B5" s="9" t="s">
        <v>474</v>
      </c>
      <c r="C5" s="200"/>
      <c r="D5" s="201"/>
      <c r="E5" s="198"/>
      <c r="F5" s="221"/>
    </row>
    <row r="6" spans="1:6" x14ac:dyDescent="0.35">
      <c r="A6" s="4"/>
      <c r="B6" s="9" t="s">
        <v>475</v>
      </c>
      <c r="C6" s="200"/>
      <c r="D6" s="201"/>
      <c r="E6" s="198"/>
      <c r="F6" s="221"/>
    </row>
    <row r="7" spans="1:6" x14ac:dyDescent="0.35">
      <c r="A7" s="4"/>
      <c r="B7" s="9" t="s">
        <v>598</v>
      </c>
      <c r="C7" s="200"/>
      <c r="D7" s="201"/>
      <c r="E7" s="198"/>
      <c r="F7" s="221"/>
    </row>
    <row r="8" spans="1:6" ht="28" customHeight="1" x14ac:dyDescent="0.35">
      <c r="A8" s="4"/>
      <c r="B8" s="9" t="s">
        <v>599</v>
      </c>
      <c r="C8" s="200"/>
      <c r="D8" s="201"/>
      <c r="E8" s="198"/>
      <c r="F8" s="221"/>
    </row>
    <row r="9" spans="1:6" x14ac:dyDescent="0.35">
      <c r="A9" s="63" t="s">
        <v>73</v>
      </c>
      <c r="B9" s="81" t="s">
        <v>476</v>
      </c>
      <c r="C9" s="119"/>
      <c r="D9" s="120"/>
      <c r="E9" s="55"/>
      <c r="F9" s="234"/>
    </row>
    <row r="10" spans="1:6" ht="40.5" x14ac:dyDescent="0.35">
      <c r="A10" s="76" t="s">
        <v>88</v>
      </c>
      <c r="B10" s="190" t="s">
        <v>698</v>
      </c>
      <c r="C10" s="97"/>
      <c r="D10" s="98"/>
      <c r="E10" s="198"/>
      <c r="F10" s="221"/>
    </row>
    <row r="11" spans="1:6" ht="37.5" customHeight="1" x14ac:dyDescent="0.35">
      <c r="A11" s="4" t="s">
        <v>76</v>
      </c>
      <c r="B11" s="128" t="s">
        <v>477</v>
      </c>
      <c r="C11" s="97"/>
      <c r="D11" s="98"/>
      <c r="E11" s="198"/>
      <c r="F11" s="221"/>
    </row>
    <row r="12" spans="1:6" x14ac:dyDescent="0.35">
      <c r="A12" s="63" t="s">
        <v>455</v>
      </c>
      <c r="B12" s="80" t="s">
        <v>478</v>
      </c>
      <c r="C12" s="101"/>
      <c r="D12" s="105"/>
      <c r="E12" s="55"/>
      <c r="F12" s="234"/>
    </row>
    <row r="13" spans="1:6" x14ac:dyDescent="0.35">
      <c r="A13" s="309" t="s">
        <v>79</v>
      </c>
      <c r="B13" s="9" t="s">
        <v>479</v>
      </c>
      <c r="C13" s="97"/>
      <c r="D13" s="98"/>
      <c r="E13" s="198"/>
      <c r="F13" s="221"/>
    </row>
    <row r="14" spans="1:6" x14ac:dyDescent="0.35">
      <c r="A14" s="313"/>
      <c r="B14" s="9" t="s">
        <v>480</v>
      </c>
      <c r="C14" s="97"/>
      <c r="D14" s="98"/>
      <c r="E14" s="198"/>
      <c r="F14" s="221"/>
    </row>
    <row r="15" spans="1:6" x14ac:dyDescent="0.35">
      <c r="A15" s="310"/>
      <c r="B15" s="7" t="s">
        <v>708</v>
      </c>
      <c r="C15" s="97"/>
      <c r="D15" s="98"/>
      <c r="E15" s="198"/>
      <c r="F15" s="221"/>
    </row>
    <row r="16" spans="1:6" x14ac:dyDescent="0.35">
      <c r="A16" s="45" t="s">
        <v>456</v>
      </c>
      <c r="B16" s="43" t="s">
        <v>14</v>
      </c>
      <c r="C16" s="99"/>
      <c r="D16" s="103"/>
      <c r="E16" s="53"/>
      <c r="F16" s="226"/>
    </row>
    <row r="17" spans="1:6" x14ac:dyDescent="0.35">
      <c r="A17" s="4" t="s">
        <v>74</v>
      </c>
      <c r="B17" s="23" t="s">
        <v>486</v>
      </c>
      <c r="C17" s="97"/>
      <c r="D17" s="98"/>
      <c r="E17" s="198"/>
      <c r="F17" s="221"/>
    </row>
    <row r="18" spans="1:6" x14ac:dyDescent="0.35">
      <c r="A18" s="4" t="s">
        <v>66</v>
      </c>
      <c r="B18" s="23" t="s">
        <v>481</v>
      </c>
      <c r="C18" s="97"/>
      <c r="D18" s="98"/>
      <c r="E18" s="198"/>
      <c r="F18" s="221"/>
    </row>
    <row r="19" spans="1:6" x14ac:dyDescent="0.35">
      <c r="A19" s="4" t="s">
        <v>68</v>
      </c>
      <c r="B19" s="23" t="s">
        <v>545</v>
      </c>
      <c r="C19" s="97"/>
      <c r="D19" s="98"/>
      <c r="E19" s="198"/>
      <c r="F19" s="221"/>
    </row>
    <row r="20" spans="1:6" x14ac:dyDescent="0.35">
      <c r="A20" s="4" t="s">
        <v>70</v>
      </c>
      <c r="B20" s="23" t="s">
        <v>482</v>
      </c>
      <c r="C20" s="97"/>
      <c r="D20" s="98"/>
      <c r="E20" s="198"/>
      <c r="F20" s="221"/>
    </row>
    <row r="21" spans="1:6" x14ac:dyDescent="0.35">
      <c r="A21" s="4" t="s">
        <v>75</v>
      </c>
      <c r="B21" s="23" t="s">
        <v>483</v>
      </c>
      <c r="C21" s="97"/>
      <c r="D21" s="98"/>
      <c r="E21" s="198"/>
      <c r="F21" s="221"/>
    </row>
    <row r="22" spans="1:6" s="22" customFormat="1" x14ac:dyDescent="0.35">
      <c r="A22" s="4" t="s">
        <v>99</v>
      </c>
      <c r="B22" s="7" t="s">
        <v>485</v>
      </c>
      <c r="C22" s="97"/>
      <c r="D22" s="98"/>
      <c r="E22" s="198"/>
      <c r="F22" s="221"/>
    </row>
    <row r="23" spans="1:6" x14ac:dyDescent="0.35">
      <c r="A23" s="4" t="s">
        <v>78</v>
      </c>
      <c r="B23" s="23" t="s">
        <v>484</v>
      </c>
      <c r="C23" s="97"/>
      <c r="D23" s="98"/>
      <c r="E23" s="198"/>
      <c r="F23" s="221"/>
    </row>
    <row r="24" spans="1:6" ht="27" x14ac:dyDescent="0.35">
      <c r="A24" s="4" t="s">
        <v>96</v>
      </c>
      <c r="B24" s="23" t="s">
        <v>700</v>
      </c>
      <c r="C24" s="97"/>
      <c r="D24" s="98"/>
      <c r="E24" s="198"/>
      <c r="F24" s="221"/>
    </row>
    <row r="25" spans="1:6" x14ac:dyDescent="0.35">
      <c r="A25" s="3" t="s">
        <v>69</v>
      </c>
      <c r="B25" s="84" t="s">
        <v>487</v>
      </c>
      <c r="C25" s="97"/>
      <c r="D25" s="98"/>
      <c r="E25" s="198"/>
      <c r="F25" s="221"/>
    </row>
    <row r="26" spans="1:6" x14ac:dyDescent="0.35">
      <c r="A26" s="45" t="s">
        <v>489</v>
      </c>
      <c r="B26" s="43" t="s">
        <v>13</v>
      </c>
      <c r="C26" s="99"/>
      <c r="D26" s="103"/>
      <c r="E26" s="53"/>
      <c r="F26" s="226"/>
    </row>
    <row r="27" spans="1:6" x14ac:dyDescent="0.35">
      <c r="A27" s="136" t="s">
        <v>660</v>
      </c>
      <c r="B27" s="138" t="s">
        <v>488</v>
      </c>
      <c r="C27" s="259"/>
      <c r="D27" s="139"/>
      <c r="E27" s="260"/>
      <c r="F27" s="256"/>
    </row>
    <row r="28" spans="1:6" s="22" customFormat="1" x14ac:dyDescent="0.35">
      <c r="A28" s="136" t="s">
        <v>659</v>
      </c>
      <c r="B28" s="137" t="s">
        <v>15</v>
      </c>
      <c r="C28" s="259"/>
      <c r="D28" s="258"/>
      <c r="E28" s="260"/>
      <c r="F28" s="256"/>
    </row>
    <row r="29" spans="1:6" s="22" customFormat="1" x14ac:dyDescent="0.35">
      <c r="A29" s="309" t="s">
        <v>66</v>
      </c>
      <c r="B29" s="23" t="s">
        <v>699</v>
      </c>
      <c r="C29" s="97"/>
      <c r="D29" s="98"/>
      <c r="E29" s="198"/>
      <c r="F29" s="221"/>
    </row>
    <row r="30" spans="1:6" s="22" customFormat="1" ht="27" x14ac:dyDescent="0.35">
      <c r="A30" s="313"/>
      <c r="B30" s="23" t="s">
        <v>490</v>
      </c>
      <c r="C30" s="97"/>
      <c r="D30" s="98"/>
      <c r="E30" s="198"/>
      <c r="F30" s="221"/>
    </row>
    <row r="31" spans="1:6" s="22" customFormat="1" x14ac:dyDescent="0.35">
      <c r="A31" s="310"/>
      <c r="B31" s="7" t="s">
        <v>491</v>
      </c>
      <c r="C31" s="97"/>
      <c r="D31" s="98"/>
      <c r="E31" s="198"/>
      <c r="F31" s="221"/>
    </row>
    <row r="32" spans="1:6" x14ac:dyDescent="0.35">
      <c r="A32" s="328" t="s">
        <v>661</v>
      </c>
      <c r="B32" s="138" t="s">
        <v>492</v>
      </c>
      <c r="C32" s="259"/>
      <c r="D32" s="139"/>
      <c r="E32" s="260"/>
      <c r="F32" s="256"/>
    </row>
    <row r="33" spans="1:6" x14ac:dyDescent="0.35">
      <c r="A33" s="329"/>
      <c r="B33" s="140" t="s">
        <v>117</v>
      </c>
      <c r="C33" s="259"/>
      <c r="D33" s="258"/>
      <c r="E33" s="260"/>
      <c r="F33" s="256"/>
    </row>
    <row r="34" spans="1:6" x14ac:dyDescent="0.35">
      <c r="A34" s="136" t="s">
        <v>658</v>
      </c>
      <c r="B34" s="137" t="s">
        <v>118</v>
      </c>
      <c r="C34" s="259"/>
      <c r="D34" s="139"/>
      <c r="E34" s="260"/>
      <c r="F34" s="256"/>
    </row>
    <row r="35" spans="1:6" x14ac:dyDescent="0.35">
      <c r="A35" s="4" t="s">
        <v>70</v>
      </c>
      <c r="B35" s="9" t="s">
        <v>119</v>
      </c>
      <c r="C35" s="254"/>
      <c r="D35" s="255"/>
      <c r="E35" s="261"/>
      <c r="F35" s="221"/>
    </row>
    <row r="36" spans="1:6" x14ac:dyDescent="0.35">
      <c r="A36" s="4" t="s">
        <v>70</v>
      </c>
      <c r="B36" s="23" t="s">
        <v>501</v>
      </c>
      <c r="C36" s="97"/>
      <c r="D36" s="98"/>
      <c r="E36" s="198"/>
      <c r="F36" s="221"/>
    </row>
    <row r="37" spans="1:6" x14ac:dyDescent="0.35">
      <c r="A37" s="4" t="s">
        <v>70</v>
      </c>
      <c r="B37" s="23" t="s">
        <v>493</v>
      </c>
      <c r="C37" s="97"/>
      <c r="D37" s="98"/>
      <c r="E37" s="198"/>
      <c r="F37" s="221"/>
    </row>
    <row r="38" spans="1:6" x14ac:dyDescent="0.35">
      <c r="A38" s="4" t="s">
        <v>70</v>
      </c>
      <c r="B38" s="23" t="s">
        <v>120</v>
      </c>
      <c r="C38" s="97"/>
      <c r="D38" s="98"/>
      <c r="E38" s="198"/>
      <c r="F38" s="221"/>
    </row>
    <row r="39" spans="1:6" x14ac:dyDescent="0.35">
      <c r="A39" s="4" t="s">
        <v>70</v>
      </c>
      <c r="B39" s="23" t="s">
        <v>494</v>
      </c>
      <c r="C39" s="97"/>
      <c r="D39" s="98"/>
      <c r="E39" s="198"/>
      <c r="F39" s="221"/>
    </row>
    <row r="40" spans="1:6" x14ac:dyDescent="0.35">
      <c r="A40" s="136" t="s">
        <v>662</v>
      </c>
      <c r="B40" s="138" t="s">
        <v>495</v>
      </c>
      <c r="C40" s="259"/>
      <c r="D40" s="139"/>
      <c r="E40" s="260"/>
      <c r="F40" s="256"/>
    </row>
    <row r="41" spans="1:6" x14ac:dyDescent="0.35">
      <c r="A41" s="136" t="s">
        <v>663</v>
      </c>
      <c r="B41" s="138" t="s">
        <v>546</v>
      </c>
      <c r="C41" s="259"/>
      <c r="D41" s="258"/>
      <c r="E41" s="260"/>
      <c r="F41" s="256"/>
    </row>
    <row r="42" spans="1:6" x14ac:dyDescent="0.35">
      <c r="A42" s="45" t="s">
        <v>664</v>
      </c>
      <c r="B42" s="64" t="s">
        <v>496</v>
      </c>
      <c r="C42" s="101"/>
      <c r="D42" s="105"/>
      <c r="E42" s="55"/>
      <c r="F42" s="234"/>
    </row>
    <row r="43" spans="1:6" x14ac:dyDescent="0.35">
      <c r="A43" s="4"/>
      <c r="B43" s="9" t="s">
        <v>497</v>
      </c>
      <c r="C43" s="97"/>
      <c r="D43" s="98"/>
      <c r="E43" s="198"/>
      <c r="F43" s="221"/>
    </row>
    <row r="44" spans="1:6" x14ac:dyDescent="0.35">
      <c r="A44" s="4"/>
      <c r="B44" s="23" t="s">
        <v>498</v>
      </c>
      <c r="C44" s="97"/>
      <c r="D44" s="98"/>
      <c r="E44" s="198"/>
      <c r="F44" s="221"/>
    </row>
    <row r="45" spans="1:6" ht="30" customHeight="1" x14ac:dyDescent="0.35">
      <c r="A45" s="45" t="s">
        <v>665</v>
      </c>
      <c r="B45" s="64" t="s">
        <v>687</v>
      </c>
      <c r="C45" s="101"/>
      <c r="D45" s="105"/>
      <c r="E45" s="55"/>
      <c r="F45" s="234"/>
    </row>
    <row r="46" spans="1:6" x14ac:dyDescent="0.35">
      <c r="B46" s="82"/>
    </row>
  </sheetData>
  <mergeCells count="4">
    <mergeCell ref="A1:F1"/>
    <mergeCell ref="A13:A15"/>
    <mergeCell ref="A29:A31"/>
    <mergeCell ref="A32:A33"/>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numberStoredAsText="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F19"/>
  <sheetViews>
    <sheetView showGridLines="0" view="pageBreakPreview" zoomScale="60" zoomScaleNormal="110" workbookViewId="0">
      <selection activeCell="F4" sqref="F4"/>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6" s="13" customFormat="1" ht="24" customHeight="1" x14ac:dyDescent="0.35">
      <c r="A1" s="308" t="s">
        <v>607</v>
      </c>
      <c r="B1" s="308"/>
      <c r="C1" s="308"/>
      <c r="D1" s="308"/>
      <c r="E1" s="308"/>
      <c r="F1" s="308"/>
    </row>
    <row r="2" spans="1:6" s="5" customFormat="1" x14ac:dyDescent="0.35">
      <c r="A2" s="50" t="s">
        <v>298</v>
      </c>
      <c r="B2" s="155" t="s">
        <v>169</v>
      </c>
      <c r="C2" s="97" t="s">
        <v>295</v>
      </c>
      <c r="D2" s="98" t="s">
        <v>571</v>
      </c>
      <c r="E2" s="96" t="s">
        <v>572</v>
      </c>
      <c r="F2" s="203" t="s">
        <v>725</v>
      </c>
    </row>
    <row r="3" spans="1:6" s="5" customFormat="1" ht="22.5" customHeight="1" x14ac:dyDescent="0.35">
      <c r="A3" s="50"/>
      <c r="B3" s="141" t="s">
        <v>499</v>
      </c>
      <c r="C3" s="97"/>
      <c r="D3" s="98"/>
      <c r="E3" s="198"/>
      <c r="F3" s="221"/>
    </row>
    <row r="4" spans="1:6" ht="50.25" customHeight="1" x14ac:dyDescent="0.35">
      <c r="A4" s="169" t="s">
        <v>88</v>
      </c>
      <c r="B4" s="131" t="s">
        <v>736</v>
      </c>
      <c r="C4" s="194"/>
      <c r="D4" s="100"/>
      <c r="E4" s="202"/>
      <c r="F4" s="241" t="s">
        <v>113</v>
      </c>
    </row>
    <row r="5" spans="1:6" ht="32.25" customHeight="1" x14ac:dyDescent="0.35">
      <c r="A5" s="76" t="s">
        <v>89</v>
      </c>
      <c r="B5" s="128" t="s">
        <v>500</v>
      </c>
      <c r="C5" s="97"/>
      <c r="D5" s="98"/>
      <c r="E5" s="198"/>
      <c r="F5" s="221"/>
    </row>
    <row r="6" spans="1:6" x14ac:dyDescent="0.35">
      <c r="B6" s="20"/>
    </row>
    <row r="11" spans="1:6" ht="15" customHeight="1" x14ac:dyDescent="0.35"/>
    <row r="13" spans="1:6" s="29" customFormat="1" x14ac:dyDescent="0.35">
      <c r="A13" s="26"/>
    </row>
    <row r="19" ht="15" customHeight="1" x14ac:dyDescent="0.35"/>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rowBreaks count="1" manualBreakCount="1">
    <brk id="5"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F8"/>
  <sheetViews>
    <sheetView showGridLines="0" view="pageBreakPreview" zoomScale="70" zoomScaleNormal="110" zoomScaleSheetLayoutView="70" workbookViewId="0">
      <selection sqref="A1:F1"/>
    </sheetView>
  </sheetViews>
  <sheetFormatPr baseColWidth="10" defaultColWidth="9.33203125" defaultRowHeight="13.5" x14ac:dyDescent="0.35"/>
  <cols>
    <col min="1" max="1" width="5.6640625" style="5" customWidth="1"/>
    <col min="2" max="2" width="81.6640625" style="38" customWidth="1"/>
    <col min="3" max="5" width="5.6640625" style="6" customWidth="1"/>
    <col min="6" max="6" width="15.77734375" style="6" customWidth="1"/>
    <col min="7" max="16384" width="9.33203125" style="6"/>
  </cols>
  <sheetData>
    <row r="1" spans="1:6" s="13" customFormat="1" ht="24" customHeight="1" x14ac:dyDescent="0.35">
      <c r="A1" s="308" t="s">
        <v>690</v>
      </c>
      <c r="B1" s="308"/>
      <c r="C1" s="308"/>
      <c r="D1" s="308"/>
      <c r="E1" s="308"/>
      <c r="F1" s="308"/>
    </row>
    <row r="2" spans="1:6" s="13" customFormat="1" ht="57.75" customHeight="1" x14ac:dyDescent="0.35">
      <c r="A2" s="319" t="s">
        <v>717</v>
      </c>
      <c r="B2" s="320"/>
      <c r="C2" s="320"/>
      <c r="D2" s="320"/>
      <c r="E2" s="320"/>
      <c r="F2" s="321"/>
    </row>
    <row r="3" spans="1:6" s="5" customFormat="1" x14ac:dyDescent="0.35">
      <c r="A3" s="50" t="s">
        <v>298</v>
      </c>
      <c r="B3" s="155" t="s">
        <v>169</v>
      </c>
      <c r="C3" s="97" t="s">
        <v>295</v>
      </c>
      <c r="D3" s="98" t="s">
        <v>571</v>
      </c>
      <c r="E3" s="96" t="s">
        <v>572</v>
      </c>
      <c r="F3" s="203" t="s">
        <v>725</v>
      </c>
    </row>
    <row r="4" spans="1:6" ht="40.5" customHeight="1" x14ac:dyDescent="0.35">
      <c r="A4" s="46"/>
      <c r="B4" s="170" t="s">
        <v>689</v>
      </c>
      <c r="C4" s="194"/>
      <c r="D4" s="100"/>
      <c r="E4" s="202"/>
      <c r="F4" s="251"/>
    </row>
    <row r="5" spans="1:6" ht="36" customHeight="1" x14ac:dyDescent="0.35">
      <c r="A5" s="46"/>
      <c r="B5" s="170" t="s">
        <v>502</v>
      </c>
      <c r="C5" s="194"/>
      <c r="D5" s="100"/>
      <c r="E5" s="202"/>
      <c r="F5" s="251"/>
    </row>
    <row r="6" spans="1:6" ht="51" customHeight="1" x14ac:dyDescent="0.35">
      <c r="A6" s="46"/>
      <c r="B6" s="170" t="s">
        <v>688</v>
      </c>
      <c r="C6" s="194"/>
      <c r="D6" s="100"/>
      <c r="E6" s="202"/>
      <c r="F6" s="251"/>
    </row>
    <row r="7" spans="1:6" ht="36.75" customHeight="1" x14ac:dyDescent="0.35">
      <c r="A7" s="46"/>
      <c r="B7" s="170" t="s">
        <v>581</v>
      </c>
      <c r="C7" s="194"/>
      <c r="D7" s="100"/>
      <c r="E7" s="202"/>
      <c r="F7" s="251"/>
    </row>
    <row r="8" spans="1:6" ht="42" customHeight="1" x14ac:dyDescent="0.35">
      <c r="A8" s="4"/>
      <c r="B8" s="128" t="s">
        <v>503</v>
      </c>
      <c r="C8" s="97"/>
      <c r="D8" s="98"/>
      <c r="E8" s="202"/>
      <c r="F8" s="155"/>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4A8C8-715A-4E07-ACCA-00EDF1449300}">
  <sheetPr codeName="Sheet37"/>
  <dimension ref="A1:F3"/>
  <sheetViews>
    <sheetView showGridLines="0" view="pageBreakPreview" zoomScale="60" zoomScaleNormal="110" workbookViewId="0">
      <selection activeCell="I9" sqref="I9"/>
    </sheetView>
  </sheetViews>
  <sheetFormatPr baseColWidth="10" defaultColWidth="9.33203125" defaultRowHeight="13.5" x14ac:dyDescent="0.35"/>
  <cols>
    <col min="1" max="1" width="5.6640625" style="5" customWidth="1"/>
    <col min="2" max="2" width="81.6640625" style="38" customWidth="1"/>
    <col min="3" max="5" width="5.6640625" style="6" customWidth="1"/>
    <col min="6" max="6" width="15.77734375" style="6" customWidth="1"/>
    <col min="7" max="16384" width="9.33203125" style="6"/>
  </cols>
  <sheetData>
    <row r="1" spans="1:6" s="13" customFormat="1" ht="24" customHeight="1" x14ac:dyDescent="0.35">
      <c r="A1" s="308" t="s">
        <v>610</v>
      </c>
      <c r="B1" s="308"/>
      <c r="C1" s="308"/>
      <c r="D1" s="308"/>
      <c r="E1" s="308"/>
      <c r="F1" s="308"/>
    </row>
    <row r="2" spans="1:6" s="13" customFormat="1" ht="57.75" customHeight="1" x14ac:dyDescent="0.35">
      <c r="A2" s="319" t="s">
        <v>709</v>
      </c>
      <c r="B2" s="320"/>
      <c r="C2" s="320"/>
      <c r="D2" s="320"/>
      <c r="E2" s="320"/>
      <c r="F2" s="321"/>
    </row>
    <row r="3" spans="1:6" ht="233.25" customHeight="1" x14ac:dyDescent="0.35">
      <c r="A3" s="46"/>
      <c r="B3" s="330" t="s">
        <v>611</v>
      </c>
      <c r="C3" s="331"/>
      <c r="D3" s="331"/>
      <c r="E3" s="331"/>
      <c r="F3" s="332"/>
    </row>
  </sheetData>
  <mergeCells count="3">
    <mergeCell ref="A1:F1"/>
    <mergeCell ref="B3:F3"/>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F34"/>
  <sheetViews>
    <sheetView showGridLines="0" view="pageBreakPreview" zoomScaleNormal="110" zoomScaleSheetLayoutView="100" workbookViewId="0">
      <selection activeCell="F4" sqref="F4"/>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6" s="13" customFormat="1" ht="24" customHeight="1" x14ac:dyDescent="0.35">
      <c r="A1" s="308" t="s">
        <v>612</v>
      </c>
      <c r="B1" s="308"/>
      <c r="C1" s="308"/>
      <c r="D1" s="308"/>
      <c r="E1" s="308"/>
      <c r="F1" s="308"/>
    </row>
    <row r="2" spans="1:6" s="5" customFormat="1" x14ac:dyDescent="0.35">
      <c r="A2" s="50" t="s">
        <v>298</v>
      </c>
      <c r="B2" s="19" t="s">
        <v>169</v>
      </c>
      <c r="C2" s="97" t="s">
        <v>295</v>
      </c>
      <c r="D2" s="98" t="s">
        <v>571</v>
      </c>
      <c r="E2" s="96" t="s">
        <v>572</v>
      </c>
      <c r="F2" s="203" t="s">
        <v>725</v>
      </c>
    </row>
    <row r="3" spans="1:6" s="5" customFormat="1" x14ac:dyDescent="0.35">
      <c r="A3" s="55" t="s">
        <v>77</v>
      </c>
      <c r="B3" s="79" t="s">
        <v>355</v>
      </c>
      <c r="C3" s="101"/>
      <c r="D3" s="105"/>
      <c r="E3" s="55"/>
      <c r="F3" s="231"/>
    </row>
    <row r="4" spans="1:6" s="5" customFormat="1" x14ac:dyDescent="0.35">
      <c r="A4" s="50"/>
      <c r="B4" s="85" t="s">
        <v>504</v>
      </c>
      <c r="C4" s="97"/>
      <c r="D4" s="98"/>
      <c r="E4" s="198"/>
      <c r="F4" s="155"/>
    </row>
    <row r="5" spans="1:6" s="22" customFormat="1" ht="15" customHeight="1" x14ac:dyDescent="0.35">
      <c r="A5" s="68" t="s">
        <v>73</v>
      </c>
      <c r="B5" s="43" t="s">
        <v>16</v>
      </c>
      <c r="C5" s="99"/>
      <c r="D5" s="103"/>
      <c r="E5" s="53"/>
      <c r="F5" s="218" t="s">
        <v>113</v>
      </c>
    </row>
    <row r="6" spans="1:6" x14ac:dyDescent="0.35">
      <c r="A6" s="76" t="s">
        <v>79</v>
      </c>
      <c r="B6" s="23" t="s">
        <v>505</v>
      </c>
      <c r="C6" s="97"/>
      <c r="D6" s="98"/>
      <c r="E6" s="198"/>
      <c r="F6" s="155"/>
    </row>
    <row r="7" spans="1:6" x14ac:dyDescent="0.35">
      <c r="A7" s="74" t="s">
        <v>76</v>
      </c>
      <c r="B7" s="73" t="s">
        <v>97</v>
      </c>
      <c r="C7" s="104"/>
      <c r="D7" s="106"/>
      <c r="E7" s="213"/>
      <c r="F7" s="219"/>
    </row>
    <row r="8" spans="1:6" x14ac:dyDescent="0.35">
      <c r="A8" s="76" t="s">
        <v>74</v>
      </c>
      <c r="B8" s="23" t="s">
        <v>506</v>
      </c>
      <c r="C8" s="97"/>
      <c r="D8" s="98"/>
      <c r="E8" s="198"/>
      <c r="F8" s="155"/>
    </row>
    <row r="9" spans="1:6" x14ac:dyDescent="0.35">
      <c r="A9" s="4" t="s">
        <v>66</v>
      </c>
      <c r="B9" s="23" t="s">
        <v>507</v>
      </c>
      <c r="C9" s="97"/>
      <c r="D9" s="98"/>
      <c r="E9" s="198"/>
      <c r="F9" s="155"/>
    </row>
    <row r="10" spans="1:6" x14ac:dyDescent="0.35">
      <c r="A10" s="4" t="s">
        <v>68</v>
      </c>
      <c r="B10" s="23" t="s">
        <v>508</v>
      </c>
      <c r="C10" s="97"/>
      <c r="D10" s="98"/>
      <c r="E10" s="198"/>
      <c r="F10" s="155"/>
    </row>
    <row r="11" spans="1:6" x14ac:dyDescent="0.35">
      <c r="A11" s="4" t="s">
        <v>70</v>
      </c>
      <c r="B11" s="23" t="s">
        <v>509</v>
      </c>
      <c r="C11" s="97"/>
      <c r="D11" s="98"/>
      <c r="E11" s="198"/>
      <c r="F11" s="155"/>
    </row>
    <row r="12" spans="1:6" x14ac:dyDescent="0.35">
      <c r="A12" s="68" t="s">
        <v>72</v>
      </c>
      <c r="B12" s="43" t="s">
        <v>511</v>
      </c>
      <c r="C12" s="99"/>
      <c r="D12" s="103"/>
      <c r="E12" s="53"/>
      <c r="F12" s="218"/>
    </row>
    <row r="13" spans="1:6" x14ac:dyDescent="0.35">
      <c r="A13" s="76" t="s">
        <v>79</v>
      </c>
      <c r="B13" s="23" t="s">
        <v>510</v>
      </c>
      <c r="C13" s="97"/>
      <c r="D13" s="98"/>
      <c r="E13" s="198"/>
      <c r="F13" s="155"/>
    </row>
    <row r="14" spans="1:6" x14ac:dyDescent="0.35">
      <c r="A14" s="76" t="s">
        <v>76</v>
      </c>
      <c r="B14" s="7" t="s">
        <v>512</v>
      </c>
      <c r="C14" s="97"/>
      <c r="D14" s="98"/>
      <c r="E14" s="198"/>
      <c r="F14" s="155"/>
    </row>
    <row r="15" spans="1:6" x14ac:dyDescent="0.35">
      <c r="A15" s="76" t="s">
        <v>80</v>
      </c>
      <c r="B15" s="9" t="s">
        <v>547</v>
      </c>
      <c r="C15" s="97"/>
      <c r="D15" s="98"/>
      <c r="E15" s="198"/>
      <c r="F15" s="155"/>
    </row>
    <row r="16" spans="1:6" x14ac:dyDescent="0.35">
      <c r="A16" s="76" t="s">
        <v>82</v>
      </c>
      <c r="B16" s="23" t="s">
        <v>17</v>
      </c>
      <c r="C16" s="97"/>
      <c r="D16" s="98"/>
      <c r="E16" s="198"/>
      <c r="F16" s="155"/>
    </row>
    <row r="17" spans="1:6" x14ac:dyDescent="0.35">
      <c r="A17" s="76" t="s">
        <v>83</v>
      </c>
      <c r="B17" s="23" t="s">
        <v>18</v>
      </c>
      <c r="C17" s="97"/>
      <c r="D17" s="98"/>
      <c r="E17" s="198"/>
      <c r="F17" s="155"/>
    </row>
    <row r="18" spans="1:6" x14ac:dyDescent="0.35">
      <c r="A18" s="68" t="s">
        <v>71</v>
      </c>
      <c r="B18" s="43" t="s">
        <v>19</v>
      </c>
      <c r="C18" s="99"/>
      <c r="D18" s="103"/>
      <c r="E18" s="53"/>
      <c r="F18" s="218"/>
    </row>
    <row r="19" spans="1:6" x14ac:dyDescent="0.35">
      <c r="A19" s="4" t="s">
        <v>79</v>
      </c>
      <c r="B19" s="23" t="s">
        <v>513</v>
      </c>
      <c r="C19" s="97"/>
      <c r="D19" s="98"/>
      <c r="E19" s="198"/>
      <c r="F19" s="155"/>
    </row>
    <row r="20" spans="1:6" x14ac:dyDescent="0.35">
      <c r="A20" s="63" t="s">
        <v>93</v>
      </c>
      <c r="B20" s="64" t="s">
        <v>514</v>
      </c>
      <c r="C20" s="101"/>
      <c r="D20" s="105"/>
      <c r="E20" s="55"/>
      <c r="F20" s="231"/>
    </row>
    <row r="21" spans="1:6" x14ac:dyDescent="0.35">
      <c r="A21" s="4" t="s">
        <v>79</v>
      </c>
      <c r="B21" s="23" t="s">
        <v>515</v>
      </c>
      <c r="C21" s="97"/>
      <c r="D21" s="98"/>
      <c r="E21" s="198"/>
      <c r="F21" s="155"/>
    </row>
    <row r="22" spans="1:6" ht="27" x14ac:dyDescent="0.35">
      <c r="A22" s="4" t="s">
        <v>76</v>
      </c>
      <c r="B22" s="23" t="s">
        <v>516</v>
      </c>
      <c r="C22" s="97"/>
      <c r="D22" s="98"/>
      <c r="E22" s="198"/>
      <c r="F22" s="155"/>
    </row>
    <row r="23" spans="1:6" x14ac:dyDescent="0.35">
      <c r="A23" s="83" t="s">
        <v>80</v>
      </c>
      <c r="B23" s="11" t="s">
        <v>517</v>
      </c>
      <c r="C23" s="97"/>
      <c r="D23" s="98"/>
      <c r="E23" s="198"/>
      <c r="F23" s="155"/>
    </row>
    <row r="24" spans="1:6" s="14" customFormat="1" x14ac:dyDescent="0.35">
      <c r="A24" s="54" t="s">
        <v>94</v>
      </c>
      <c r="B24" s="71" t="s">
        <v>137</v>
      </c>
      <c r="C24" s="99"/>
      <c r="D24" s="103"/>
      <c r="E24" s="53"/>
      <c r="F24" s="218"/>
    </row>
    <row r="25" spans="1:6" x14ac:dyDescent="0.35">
      <c r="A25" s="76" t="s">
        <v>79</v>
      </c>
      <c r="B25" s="23" t="s">
        <v>518</v>
      </c>
      <c r="C25" s="97"/>
      <c r="D25" s="98"/>
      <c r="E25" s="198"/>
      <c r="F25" s="155"/>
    </row>
    <row r="26" spans="1:6" s="14" customFormat="1" x14ac:dyDescent="0.35">
      <c r="A26" s="50" t="s">
        <v>76</v>
      </c>
      <c r="B26" s="7" t="s">
        <v>519</v>
      </c>
      <c r="C26" s="97"/>
      <c r="D26" s="98"/>
      <c r="E26" s="198"/>
      <c r="F26" s="155"/>
    </row>
    <row r="27" spans="1:6" x14ac:dyDescent="0.35">
      <c r="A27" s="76" t="s">
        <v>80</v>
      </c>
      <c r="B27" s="23" t="s">
        <v>520</v>
      </c>
      <c r="C27" s="97"/>
      <c r="D27" s="98"/>
      <c r="E27" s="198"/>
      <c r="F27" s="155"/>
    </row>
    <row r="28" spans="1:6" x14ac:dyDescent="0.35">
      <c r="A28" s="76" t="s">
        <v>82</v>
      </c>
      <c r="B28" s="23" t="s">
        <v>521</v>
      </c>
      <c r="C28" s="97"/>
      <c r="D28" s="98"/>
      <c r="E28" s="198"/>
      <c r="F28" s="155"/>
    </row>
    <row r="29" spans="1:6" x14ac:dyDescent="0.35">
      <c r="A29" s="68" t="s">
        <v>95</v>
      </c>
      <c r="B29" s="86" t="s">
        <v>522</v>
      </c>
      <c r="C29" s="99"/>
      <c r="D29" s="103"/>
      <c r="E29" s="53"/>
      <c r="F29" s="218"/>
    </row>
    <row r="30" spans="1:6" x14ac:dyDescent="0.35">
      <c r="A30" s="87" t="s">
        <v>79</v>
      </c>
      <c r="B30" t="s">
        <v>523</v>
      </c>
      <c r="C30" s="194"/>
      <c r="D30" s="100"/>
      <c r="E30" s="202"/>
      <c r="F30" s="251"/>
    </row>
    <row r="31" spans="1:6" x14ac:dyDescent="0.35">
      <c r="A31" s="76" t="s">
        <v>76</v>
      </c>
      <c r="B31" s="23" t="s">
        <v>524</v>
      </c>
      <c r="C31" s="97"/>
      <c r="D31" s="98"/>
      <c r="E31" s="198"/>
      <c r="F31" s="155"/>
    </row>
    <row r="34" spans="2:2" x14ac:dyDescent="0.35">
      <c r="B34"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A5 A12 A18 A20 A29 A24"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F22"/>
  <sheetViews>
    <sheetView showGridLines="0" view="pageBreakPreview" zoomScale="85" zoomScaleNormal="110" zoomScaleSheetLayoutView="85" workbookViewId="0">
      <selection activeCell="I2" sqref="I2"/>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6" s="13" customFormat="1" ht="24" customHeight="1" x14ac:dyDescent="0.35">
      <c r="A1" s="308" t="s">
        <v>613</v>
      </c>
      <c r="B1" s="308"/>
      <c r="C1" s="308"/>
      <c r="D1" s="308"/>
      <c r="E1" s="308"/>
      <c r="F1" s="308"/>
    </row>
    <row r="2" spans="1:6" s="13" customFormat="1" ht="74.25" customHeight="1" x14ac:dyDescent="0.35">
      <c r="A2" s="319" t="s">
        <v>710</v>
      </c>
      <c r="B2" s="320"/>
      <c r="C2" s="320"/>
      <c r="D2" s="320"/>
      <c r="E2" s="320"/>
      <c r="F2" s="321"/>
    </row>
    <row r="3" spans="1:6" s="26" customFormat="1" x14ac:dyDescent="0.35">
      <c r="A3" s="50" t="s">
        <v>298</v>
      </c>
      <c r="B3" s="155" t="s">
        <v>169</v>
      </c>
      <c r="C3" s="97" t="s">
        <v>295</v>
      </c>
      <c r="D3" s="98" t="s">
        <v>571</v>
      </c>
      <c r="E3" s="96" t="s">
        <v>572</v>
      </c>
      <c r="F3" s="203" t="s">
        <v>725</v>
      </c>
    </row>
    <row r="4" spans="1:6" s="26" customFormat="1" ht="18.75" customHeight="1" x14ac:dyDescent="0.35">
      <c r="A4" s="55" t="s">
        <v>77</v>
      </c>
      <c r="B4" s="167" t="s">
        <v>355</v>
      </c>
      <c r="C4" s="101"/>
      <c r="D4" s="105"/>
      <c r="E4" s="55"/>
      <c r="F4" s="224"/>
    </row>
    <row r="5" spans="1:6" s="26" customFormat="1" ht="37.5" customHeight="1" x14ac:dyDescent="0.35">
      <c r="A5" s="171"/>
      <c r="B5" s="170" t="s">
        <v>527</v>
      </c>
      <c r="C5" s="97"/>
      <c r="D5" s="98"/>
      <c r="E5" s="198"/>
      <c r="F5" s="155"/>
    </row>
    <row r="6" spans="1:6" ht="18.75" customHeight="1" x14ac:dyDescent="0.35">
      <c r="A6" s="45" t="s">
        <v>73</v>
      </c>
      <c r="B6" s="129" t="s">
        <v>121</v>
      </c>
      <c r="C6" s="99"/>
      <c r="D6" s="103"/>
      <c r="E6" s="53"/>
      <c r="F6" s="228"/>
    </row>
    <row r="7" spans="1:6" s="22" customFormat="1" ht="18.75" customHeight="1" x14ac:dyDescent="0.35">
      <c r="A7" s="4"/>
      <c r="B7" s="48" t="s">
        <v>525</v>
      </c>
      <c r="C7" s="97"/>
      <c r="D7" s="98"/>
      <c r="E7" s="198"/>
      <c r="F7" s="155"/>
    </row>
    <row r="8" spans="1:6" s="22" customFormat="1" ht="18.75" customHeight="1" x14ac:dyDescent="0.35">
      <c r="A8" s="4"/>
      <c r="B8" s="48" t="s">
        <v>529</v>
      </c>
      <c r="C8" s="97"/>
      <c r="D8" s="98"/>
      <c r="E8" s="198"/>
      <c r="F8" s="155"/>
    </row>
    <row r="9" spans="1:6" s="22" customFormat="1" ht="18.75" customHeight="1" x14ac:dyDescent="0.35">
      <c r="A9" s="63" t="s">
        <v>73</v>
      </c>
      <c r="B9" s="158" t="s">
        <v>532</v>
      </c>
      <c r="C9" s="101"/>
      <c r="D9" s="105"/>
      <c r="E9" s="55"/>
      <c r="F9" s="224"/>
    </row>
    <row r="10" spans="1:6" s="22" customFormat="1" ht="18.75" customHeight="1" x14ac:dyDescent="0.35">
      <c r="A10" s="4"/>
      <c r="B10" s="48" t="s">
        <v>530</v>
      </c>
      <c r="C10" s="97"/>
      <c r="D10" s="98"/>
      <c r="E10" s="198"/>
      <c r="F10" s="155"/>
    </row>
    <row r="11" spans="1:6" s="22" customFormat="1" ht="18.75" customHeight="1" x14ac:dyDescent="0.35">
      <c r="A11" s="4"/>
      <c r="B11" s="48" t="s">
        <v>531</v>
      </c>
      <c r="C11" s="97"/>
      <c r="D11" s="98"/>
      <c r="E11" s="198"/>
      <c r="F11" s="155"/>
    </row>
    <row r="12" spans="1:6" s="22" customFormat="1" ht="18.75" customHeight="1" x14ac:dyDescent="0.35">
      <c r="A12" s="45" t="s">
        <v>72</v>
      </c>
      <c r="B12" s="129" t="s">
        <v>122</v>
      </c>
      <c r="C12" s="99"/>
      <c r="D12" s="103"/>
      <c r="E12" s="53"/>
      <c r="F12" s="228"/>
    </row>
    <row r="13" spans="1:6" ht="18.75" customHeight="1" x14ac:dyDescent="0.35">
      <c r="A13" s="4"/>
      <c r="B13" s="48" t="s">
        <v>528</v>
      </c>
      <c r="C13" s="97"/>
      <c r="D13" s="98"/>
      <c r="E13" s="198"/>
      <c r="F13" s="155"/>
    </row>
    <row r="14" spans="1:6" ht="18.75" customHeight="1" x14ac:dyDescent="0.35">
      <c r="A14" s="4"/>
      <c r="B14" s="48" t="s">
        <v>526</v>
      </c>
      <c r="C14" s="97"/>
      <c r="D14" s="98"/>
      <c r="E14" s="198"/>
      <c r="F14" s="155"/>
    </row>
    <row r="15" spans="1:6" x14ac:dyDescent="0.35">
      <c r="B15" s="20"/>
    </row>
    <row r="20" spans="2:2" x14ac:dyDescent="0.35">
      <c r="B20" s="27"/>
    </row>
    <row r="21" spans="2:2" x14ac:dyDescent="0.35">
      <c r="B21" s="27"/>
    </row>
    <row r="22" spans="2:2" x14ac:dyDescent="0.35">
      <c r="B22" s="28"/>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6 A12 A4 A9" numberStoredAsText="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K45"/>
  <sheetViews>
    <sheetView showGridLines="0" view="pageBreakPreview" zoomScaleNormal="110" zoomScaleSheetLayoutView="100" workbookViewId="0">
      <selection activeCell="I48" sqref="I48"/>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11" s="13" customFormat="1" ht="24" customHeight="1" x14ac:dyDescent="0.35">
      <c r="A1" s="308" t="s">
        <v>623</v>
      </c>
      <c r="B1" s="308"/>
      <c r="C1" s="308"/>
      <c r="D1" s="308"/>
      <c r="E1" s="308"/>
      <c r="F1" s="308"/>
    </row>
    <row r="2" spans="1:11" s="5" customFormat="1" x14ac:dyDescent="0.35">
      <c r="A2" s="50" t="s">
        <v>298</v>
      </c>
      <c r="B2" s="155" t="s">
        <v>169</v>
      </c>
      <c r="C2" s="97" t="s">
        <v>295</v>
      </c>
      <c r="D2" s="98" t="s">
        <v>571</v>
      </c>
      <c r="E2" s="96" t="s">
        <v>572</v>
      </c>
      <c r="F2" s="203" t="s">
        <v>725</v>
      </c>
    </row>
    <row r="3" spans="1:11" x14ac:dyDescent="0.35">
      <c r="A3" s="175"/>
      <c r="B3" s="149" t="s">
        <v>129</v>
      </c>
      <c r="C3" s="99"/>
      <c r="D3" s="103"/>
      <c r="E3" s="53"/>
      <c r="F3" s="216"/>
    </row>
    <row r="4" spans="1:11" x14ac:dyDescent="0.35">
      <c r="A4" s="67" t="s">
        <v>79</v>
      </c>
      <c r="B4" s="151" t="s">
        <v>103</v>
      </c>
      <c r="C4" s="97"/>
      <c r="D4" s="98"/>
      <c r="E4" s="198"/>
      <c r="F4" s="155"/>
    </row>
    <row r="5" spans="1:11" x14ac:dyDescent="0.35">
      <c r="A5" s="4"/>
      <c r="B5" s="30" t="s">
        <v>548</v>
      </c>
      <c r="C5" s="97"/>
      <c r="D5" s="98"/>
      <c r="E5" s="198"/>
      <c r="F5" s="155"/>
    </row>
    <row r="6" spans="1:11" x14ac:dyDescent="0.35">
      <c r="A6" s="4"/>
      <c r="B6" s="30" t="s">
        <v>747</v>
      </c>
      <c r="C6" s="97"/>
      <c r="D6" s="98"/>
      <c r="E6" s="198"/>
      <c r="F6" s="155"/>
    </row>
    <row r="7" spans="1:11" x14ac:dyDescent="0.35">
      <c r="A7" s="173" t="s">
        <v>76</v>
      </c>
      <c r="B7" s="150" t="s">
        <v>132</v>
      </c>
      <c r="C7" s="104"/>
      <c r="D7" s="106"/>
      <c r="E7" s="213"/>
      <c r="F7" s="219"/>
      <c r="K7" s="8"/>
    </row>
    <row r="8" spans="1:11" x14ac:dyDescent="0.35">
      <c r="A8" s="67"/>
      <c r="B8" s="144" t="s">
        <v>130</v>
      </c>
      <c r="C8" s="97"/>
      <c r="D8" s="98"/>
      <c r="E8" s="198"/>
      <c r="F8" s="155"/>
    </row>
    <row r="9" spans="1:11" x14ac:dyDescent="0.35">
      <c r="A9" s="67"/>
      <c r="B9" s="151" t="s">
        <v>20</v>
      </c>
      <c r="C9" s="97"/>
      <c r="D9" s="98"/>
      <c r="E9" s="198"/>
      <c r="F9" s="155"/>
    </row>
    <row r="10" spans="1:11" x14ac:dyDescent="0.35">
      <c r="A10" s="4"/>
      <c r="B10" s="30" t="s">
        <v>131</v>
      </c>
      <c r="C10" s="97"/>
      <c r="D10" s="98"/>
      <c r="E10" s="198"/>
      <c r="F10" s="155"/>
    </row>
    <row r="11" spans="1:11" x14ac:dyDescent="0.35">
      <c r="A11" s="4"/>
      <c r="B11" s="151" t="s">
        <v>60</v>
      </c>
      <c r="C11" s="97"/>
      <c r="D11" s="98"/>
      <c r="E11" s="198"/>
      <c r="F11" s="155"/>
    </row>
    <row r="12" spans="1:11" x14ac:dyDescent="0.35">
      <c r="A12" s="173" t="s">
        <v>80</v>
      </c>
      <c r="B12" s="150" t="s">
        <v>21</v>
      </c>
      <c r="C12" s="104"/>
      <c r="D12" s="106"/>
      <c r="E12" s="213"/>
      <c r="F12" s="219"/>
    </row>
    <row r="13" spans="1:11" x14ac:dyDescent="0.35">
      <c r="A13" s="4"/>
      <c r="B13" s="30" t="s">
        <v>133</v>
      </c>
      <c r="C13" s="97"/>
      <c r="D13" s="98"/>
      <c r="E13" s="198"/>
      <c r="F13" s="155"/>
    </row>
    <row r="14" spans="1:11" x14ac:dyDescent="0.35">
      <c r="A14" s="4"/>
      <c r="B14" s="151" t="s">
        <v>134</v>
      </c>
      <c r="C14" s="97"/>
      <c r="D14" s="98"/>
      <c r="E14" s="198"/>
      <c r="F14" s="155"/>
    </row>
    <row r="15" spans="1:11" x14ac:dyDescent="0.35">
      <c r="A15" s="4"/>
      <c r="B15" s="151" t="s">
        <v>135</v>
      </c>
      <c r="C15" s="97"/>
      <c r="D15" s="98"/>
      <c r="E15" s="198"/>
      <c r="F15" s="155"/>
    </row>
    <row r="16" spans="1:11" x14ac:dyDescent="0.35">
      <c r="A16" s="4"/>
      <c r="B16" s="151" t="s">
        <v>61</v>
      </c>
      <c r="C16" s="97"/>
      <c r="D16" s="98"/>
      <c r="E16" s="198"/>
      <c r="F16" s="155"/>
    </row>
    <row r="17" spans="1:6" x14ac:dyDescent="0.35">
      <c r="A17" s="4"/>
      <c r="B17" s="151" t="s">
        <v>54</v>
      </c>
      <c r="C17" s="97"/>
      <c r="D17" s="98"/>
      <c r="E17" s="198"/>
      <c r="F17" s="155"/>
    </row>
    <row r="18" spans="1:6" x14ac:dyDescent="0.35">
      <c r="A18" s="67" t="s">
        <v>82</v>
      </c>
      <c r="B18" s="153" t="s">
        <v>22</v>
      </c>
      <c r="C18" s="97"/>
      <c r="D18" s="98"/>
      <c r="E18" s="198"/>
      <c r="F18" s="155"/>
    </row>
    <row r="19" spans="1:6" x14ac:dyDescent="0.35">
      <c r="A19" s="4"/>
      <c r="B19" s="151" t="s">
        <v>23</v>
      </c>
      <c r="C19" s="97"/>
      <c r="D19" s="98"/>
      <c r="E19" s="198"/>
      <c r="F19" s="155"/>
    </row>
    <row r="20" spans="1:6" x14ac:dyDescent="0.35">
      <c r="A20" s="4"/>
      <c r="B20" s="151" t="s">
        <v>59</v>
      </c>
      <c r="C20" s="97"/>
      <c r="D20" s="98"/>
      <c r="E20" s="198"/>
      <c r="F20" s="155"/>
    </row>
    <row r="21" spans="1:6" x14ac:dyDescent="0.35">
      <c r="A21" s="67" t="s">
        <v>83</v>
      </c>
      <c r="B21" s="153" t="s">
        <v>55</v>
      </c>
      <c r="C21" s="97"/>
      <c r="D21" s="98"/>
      <c r="E21" s="198"/>
      <c r="F21" s="155"/>
    </row>
    <row r="22" spans="1:6" x14ac:dyDescent="0.35">
      <c r="A22" s="4"/>
      <c r="B22" s="151" t="s">
        <v>62</v>
      </c>
      <c r="C22" s="97"/>
      <c r="D22" s="98"/>
      <c r="E22" s="198"/>
      <c r="F22" s="155"/>
    </row>
    <row r="23" spans="1:6" x14ac:dyDescent="0.35">
      <c r="A23" s="4"/>
      <c r="B23" s="151" t="s">
        <v>101</v>
      </c>
      <c r="C23" s="97"/>
      <c r="D23" s="98"/>
      <c r="E23" s="198"/>
      <c r="F23" s="155"/>
    </row>
    <row r="24" spans="1:6" x14ac:dyDescent="0.35">
      <c r="A24" s="4"/>
      <c r="B24" s="151" t="s">
        <v>102</v>
      </c>
      <c r="C24" s="97"/>
      <c r="D24" s="98"/>
      <c r="E24" s="198"/>
      <c r="F24" s="155"/>
    </row>
    <row r="25" spans="1:6" x14ac:dyDescent="0.35">
      <c r="A25" s="4"/>
      <c r="B25" s="151" t="s">
        <v>24</v>
      </c>
      <c r="C25" s="97"/>
      <c r="D25" s="98"/>
      <c r="E25" s="198"/>
      <c r="F25" s="155"/>
    </row>
    <row r="26" spans="1:6" x14ac:dyDescent="0.35">
      <c r="A26" s="4"/>
      <c r="B26" s="151" t="s">
        <v>25</v>
      </c>
      <c r="C26" s="97"/>
      <c r="D26" s="98"/>
      <c r="E26" s="198"/>
      <c r="F26" s="155"/>
    </row>
    <row r="27" spans="1:6" x14ac:dyDescent="0.35">
      <c r="A27" s="4"/>
      <c r="B27" s="151" t="s">
        <v>26</v>
      </c>
      <c r="C27" s="97"/>
      <c r="D27" s="98"/>
      <c r="E27" s="198"/>
      <c r="F27" s="155"/>
    </row>
    <row r="28" spans="1:6" x14ac:dyDescent="0.35">
      <c r="A28" s="67" t="s">
        <v>91</v>
      </c>
      <c r="B28" s="151" t="s">
        <v>27</v>
      </c>
      <c r="C28" s="97"/>
      <c r="D28" s="98"/>
      <c r="E28" s="198"/>
      <c r="F28" s="155"/>
    </row>
    <row r="29" spans="1:6" x14ac:dyDescent="0.35">
      <c r="A29" s="4"/>
      <c r="B29" s="151" t="s">
        <v>28</v>
      </c>
      <c r="C29" s="97"/>
      <c r="D29" s="98"/>
      <c r="E29" s="198"/>
      <c r="F29" s="155"/>
    </row>
    <row r="30" spans="1:6" x14ac:dyDescent="0.35">
      <c r="A30" s="4"/>
      <c r="B30" s="151" t="s">
        <v>29</v>
      </c>
      <c r="C30" s="97"/>
      <c r="D30" s="98"/>
      <c r="E30" s="198"/>
      <c r="F30" s="155"/>
    </row>
    <row r="31" spans="1:6" x14ac:dyDescent="0.35">
      <c r="A31" s="4"/>
      <c r="B31" s="151" t="s">
        <v>30</v>
      </c>
      <c r="C31" s="97"/>
      <c r="D31" s="98"/>
      <c r="E31" s="198"/>
      <c r="F31" s="155"/>
    </row>
    <row r="32" spans="1:6" x14ac:dyDescent="0.35">
      <c r="A32" s="4"/>
      <c r="B32" s="151" t="s">
        <v>31</v>
      </c>
      <c r="C32" s="97"/>
      <c r="D32" s="98"/>
      <c r="E32" s="198"/>
      <c r="F32" s="155"/>
    </row>
    <row r="33" spans="1:6" s="22" customFormat="1" x14ac:dyDescent="0.35">
      <c r="A33" s="67" t="s">
        <v>92</v>
      </c>
      <c r="B33" s="153" t="s">
        <v>32</v>
      </c>
      <c r="C33" s="97"/>
      <c r="D33" s="98"/>
      <c r="E33" s="198"/>
      <c r="F33" s="155"/>
    </row>
    <row r="34" spans="1:6" s="22" customFormat="1" x14ac:dyDescent="0.35">
      <c r="A34" s="4"/>
      <c r="B34" s="151" t="s">
        <v>33</v>
      </c>
      <c r="C34" s="97"/>
      <c r="D34" s="98"/>
      <c r="E34" s="198"/>
      <c r="F34" s="155"/>
    </row>
    <row r="35" spans="1:6" s="22" customFormat="1" x14ac:dyDescent="0.35">
      <c r="A35" s="4" t="s">
        <v>549</v>
      </c>
      <c r="B35" s="153" t="s">
        <v>550</v>
      </c>
      <c r="C35" s="97"/>
      <c r="D35" s="98"/>
      <c r="E35" s="198"/>
      <c r="F35" s="155"/>
    </row>
    <row r="36" spans="1:6" s="22" customFormat="1" x14ac:dyDescent="0.35">
      <c r="A36" s="4"/>
      <c r="B36" s="151" t="s">
        <v>737</v>
      </c>
      <c r="C36" s="97"/>
      <c r="D36" s="98"/>
      <c r="E36" s="198"/>
      <c r="F36" s="155"/>
    </row>
    <row r="37" spans="1:6" ht="15" customHeight="1" x14ac:dyDescent="0.35">
      <c r="A37" s="67" t="s">
        <v>81</v>
      </c>
      <c r="B37" s="48" t="s">
        <v>64</v>
      </c>
      <c r="C37" s="97"/>
      <c r="D37" s="98"/>
      <c r="E37" s="198"/>
      <c r="F37" s="155"/>
    </row>
    <row r="38" spans="1:6" x14ac:dyDescent="0.35">
      <c r="A38" s="4"/>
      <c r="B38" s="48" t="s">
        <v>297</v>
      </c>
      <c r="C38" s="97"/>
      <c r="D38" s="98"/>
      <c r="E38" s="198"/>
      <c r="F38" s="155"/>
    </row>
    <row r="39" spans="1:6" x14ac:dyDescent="0.35">
      <c r="A39" s="4"/>
      <c r="B39" s="174" t="s">
        <v>63</v>
      </c>
      <c r="C39" s="97"/>
      <c r="D39" s="98"/>
      <c r="E39" s="198"/>
      <c r="F39" s="155"/>
    </row>
    <row r="41" spans="1:6" x14ac:dyDescent="0.35">
      <c r="B41" s="20"/>
    </row>
    <row r="43" spans="1:6" x14ac:dyDescent="0.35">
      <c r="B43" s="24"/>
    </row>
    <row r="44" spans="1:6" x14ac:dyDescent="0.35">
      <c r="B44" s="25"/>
    </row>
    <row r="45" spans="1:6" x14ac:dyDescent="0.35">
      <c r="B45" s="25"/>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F9"/>
  <sheetViews>
    <sheetView showGridLines="0" view="pageBreakPreview" zoomScaleNormal="110" zoomScaleSheetLayoutView="100" workbookViewId="0">
      <selection activeCell="K2" sqref="K2"/>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6" s="13" customFormat="1" ht="24" customHeight="1" x14ac:dyDescent="0.35">
      <c r="A1" s="308" t="s">
        <v>600</v>
      </c>
      <c r="B1" s="308"/>
      <c r="C1" s="308"/>
      <c r="D1" s="308"/>
      <c r="E1" s="308"/>
      <c r="F1" s="308"/>
    </row>
    <row r="2" spans="1:6" s="13" customFormat="1" ht="46.5" customHeight="1" x14ac:dyDescent="0.35">
      <c r="A2" s="319" t="s">
        <v>712</v>
      </c>
      <c r="B2" s="320"/>
      <c r="C2" s="320"/>
      <c r="D2" s="320"/>
      <c r="E2" s="320"/>
      <c r="F2" s="321"/>
    </row>
    <row r="3" spans="1:6" s="5" customFormat="1" x14ac:dyDescent="0.35">
      <c r="A3" s="1" t="s">
        <v>298</v>
      </c>
      <c r="B3" s="1" t="s">
        <v>169</v>
      </c>
      <c r="C3" s="97" t="s">
        <v>295</v>
      </c>
      <c r="D3" s="98" t="s">
        <v>571</v>
      </c>
      <c r="E3" s="96" t="s">
        <v>572</v>
      </c>
      <c r="F3" s="203" t="s">
        <v>725</v>
      </c>
    </row>
    <row r="4" spans="1:6" x14ac:dyDescent="0.35">
      <c r="A4" s="191" t="s">
        <v>77</v>
      </c>
      <c r="B4" s="41" t="s">
        <v>34</v>
      </c>
      <c r="C4" s="99"/>
      <c r="D4" s="103"/>
      <c r="E4" s="53"/>
      <c r="F4" s="134"/>
    </row>
    <row r="5" spans="1:6" x14ac:dyDescent="0.35">
      <c r="A5" s="3"/>
      <c r="B5" s="188" t="s">
        <v>35</v>
      </c>
      <c r="C5" s="97"/>
      <c r="D5" s="98"/>
      <c r="E5" s="198"/>
      <c r="F5" s="239"/>
    </row>
    <row r="6" spans="1:6" ht="27" x14ac:dyDescent="0.35">
      <c r="A6" s="3"/>
      <c r="B6" s="23" t="s">
        <v>714</v>
      </c>
      <c r="C6" s="97"/>
      <c r="D6" s="98"/>
      <c r="E6" s="198"/>
      <c r="F6" s="239"/>
    </row>
    <row r="7" spans="1:6" x14ac:dyDescent="0.35">
      <c r="A7" s="3"/>
      <c r="B7" s="187" t="s">
        <v>711</v>
      </c>
      <c r="C7" s="97"/>
      <c r="D7" s="98"/>
      <c r="E7" s="198"/>
      <c r="F7" s="239"/>
    </row>
    <row r="8" spans="1:6" x14ac:dyDescent="0.35">
      <c r="A8" s="3"/>
      <c r="B8" s="187" t="s">
        <v>713</v>
      </c>
      <c r="C8" s="97"/>
      <c r="D8" s="98"/>
      <c r="E8" s="198"/>
      <c r="F8" s="239"/>
    </row>
    <row r="9" spans="1:6" ht="189" customHeight="1" x14ac:dyDescent="0.35">
      <c r="A9" s="68" t="s">
        <v>73</v>
      </c>
      <c r="B9" s="192" t="s">
        <v>718</v>
      </c>
      <c r="C9" s="262"/>
      <c r="D9" s="263"/>
      <c r="E9" s="218" t="s">
        <v>572</v>
      </c>
      <c r="F9" s="238" t="s">
        <v>719</v>
      </c>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K14"/>
  <sheetViews>
    <sheetView showGridLines="0" view="pageBreakPreview" zoomScale="115" zoomScaleNormal="110" zoomScaleSheetLayoutView="115" workbookViewId="0">
      <selection activeCell="H19" sqref="H19"/>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11" s="13" customFormat="1" ht="24" customHeight="1" x14ac:dyDescent="0.35">
      <c r="A1" s="308" t="s">
        <v>622</v>
      </c>
      <c r="B1" s="308"/>
      <c r="C1" s="308"/>
      <c r="D1" s="308"/>
      <c r="E1" s="308"/>
      <c r="F1" s="308"/>
    </row>
    <row r="2" spans="1:11" s="5" customFormat="1" x14ac:dyDescent="0.35">
      <c r="A2" s="50" t="s">
        <v>298</v>
      </c>
      <c r="B2" s="50" t="s">
        <v>169</v>
      </c>
      <c r="C2" s="97" t="s">
        <v>295</v>
      </c>
      <c r="D2" s="98" t="s">
        <v>571</v>
      </c>
      <c r="E2" s="96" t="s">
        <v>572</v>
      </c>
      <c r="F2" s="203" t="s">
        <v>725</v>
      </c>
    </row>
    <row r="3" spans="1:11" ht="18.75" customHeight="1" x14ac:dyDescent="0.35">
      <c r="A3" s="65" t="s">
        <v>73</v>
      </c>
      <c r="B3" s="172" t="s">
        <v>36</v>
      </c>
      <c r="C3" s="108"/>
      <c r="D3" s="109"/>
      <c r="E3" s="246"/>
      <c r="F3" s="264"/>
    </row>
    <row r="4" spans="1:11" ht="18.75" customHeight="1" x14ac:dyDescent="0.35">
      <c r="A4" s="74" t="s">
        <v>88</v>
      </c>
      <c r="B4" s="150" t="s">
        <v>37</v>
      </c>
      <c r="C4" s="104"/>
      <c r="D4" s="106"/>
      <c r="E4" s="213"/>
      <c r="F4" s="219" t="s">
        <v>113</v>
      </c>
    </row>
    <row r="5" spans="1:11" ht="18.75" customHeight="1" x14ac:dyDescent="0.35">
      <c r="A5" s="4" t="s">
        <v>74</v>
      </c>
      <c r="B5" s="151" t="s">
        <v>38</v>
      </c>
      <c r="C5" s="97"/>
      <c r="D5" s="98"/>
      <c r="E5" s="198"/>
      <c r="F5" s="155"/>
    </row>
    <row r="6" spans="1:11" ht="18.75" customHeight="1" x14ac:dyDescent="0.35">
      <c r="A6" s="4" t="s">
        <v>66</v>
      </c>
      <c r="B6" s="151" t="s">
        <v>39</v>
      </c>
      <c r="C6" s="97"/>
      <c r="D6" s="98"/>
      <c r="E6" s="198"/>
      <c r="F6" s="155"/>
    </row>
    <row r="7" spans="1:11" ht="18.75" customHeight="1" x14ac:dyDescent="0.35">
      <c r="A7" s="74" t="s">
        <v>89</v>
      </c>
      <c r="B7" s="150" t="s">
        <v>110</v>
      </c>
      <c r="C7" s="104"/>
      <c r="D7" s="106"/>
      <c r="E7" s="213"/>
      <c r="F7" s="219"/>
      <c r="K7" s="8"/>
    </row>
    <row r="8" spans="1:11" ht="18.75" customHeight="1" x14ac:dyDescent="0.35">
      <c r="A8" s="4" t="s">
        <v>74</v>
      </c>
      <c r="B8" s="151" t="s">
        <v>40</v>
      </c>
      <c r="C8" s="97"/>
      <c r="D8" s="98"/>
      <c r="E8" s="198"/>
      <c r="F8" s="155"/>
    </row>
    <row r="9" spans="1:11" ht="18.75" customHeight="1" x14ac:dyDescent="0.35">
      <c r="A9" s="4"/>
      <c r="B9" s="151" t="s">
        <v>41</v>
      </c>
      <c r="C9" s="97"/>
      <c r="D9" s="98"/>
      <c r="E9" s="198"/>
      <c r="F9" s="155"/>
    </row>
    <row r="10" spans="1:11" ht="18.75" customHeight="1" x14ac:dyDescent="0.35">
      <c r="A10" s="4" t="s">
        <v>66</v>
      </c>
      <c r="B10" s="151" t="s">
        <v>551</v>
      </c>
      <c r="C10" s="97"/>
      <c r="D10" s="98"/>
      <c r="E10" s="198"/>
      <c r="F10" s="155"/>
    </row>
    <row r="11" spans="1:11" ht="18.75" customHeight="1" x14ac:dyDescent="0.35">
      <c r="A11" s="4" t="s">
        <v>68</v>
      </c>
      <c r="B11" s="151" t="s">
        <v>42</v>
      </c>
      <c r="C11" s="97"/>
      <c r="D11" s="98"/>
      <c r="E11" s="198"/>
      <c r="F11" s="155"/>
    </row>
    <row r="12" spans="1:11" ht="18.75" customHeight="1" x14ac:dyDescent="0.35">
      <c r="A12" s="74" t="s">
        <v>90</v>
      </c>
      <c r="B12" s="150" t="s">
        <v>136</v>
      </c>
      <c r="C12" s="104"/>
      <c r="D12" s="106"/>
      <c r="E12" s="213"/>
      <c r="F12" s="219"/>
    </row>
    <row r="13" spans="1:11" ht="18.75" customHeight="1" x14ac:dyDescent="0.35">
      <c r="A13" s="4"/>
      <c r="B13" s="153" t="s">
        <v>43</v>
      </c>
      <c r="C13" s="97"/>
      <c r="D13" s="98"/>
      <c r="E13" s="198"/>
      <c r="F13" s="155"/>
    </row>
    <row r="14" spans="1:11" x14ac:dyDescent="0.35">
      <c r="B14"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373D8-2AD9-45D1-9F90-D02F2CCDF8EF}">
  <sheetPr codeName="Sheet26"/>
  <dimension ref="A1:F6"/>
  <sheetViews>
    <sheetView showGridLines="0" view="pageBreakPreview" zoomScale="85" zoomScaleNormal="110" zoomScaleSheetLayoutView="85" workbookViewId="0">
      <selection activeCell="F16" sqref="F16"/>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6" s="13" customFormat="1" ht="24" customHeight="1" x14ac:dyDescent="0.35">
      <c r="A1" s="308" t="s">
        <v>701</v>
      </c>
      <c r="B1" s="308"/>
      <c r="C1" s="308"/>
      <c r="D1" s="308"/>
      <c r="E1" s="308"/>
      <c r="F1" s="308"/>
    </row>
    <row r="2" spans="1:6" s="5" customFormat="1" ht="16.5" customHeight="1" x14ac:dyDescent="0.35">
      <c r="A2" s="50" t="s">
        <v>298</v>
      </c>
      <c r="B2" s="155" t="s">
        <v>169</v>
      </c>
      <c r="C2" s="97" t="s">
        <v>295</v>
      </c>
      <c r="D2" s="98" t="s">
        <v>571</v>
      </c>
      <c r="E2" s="96" t="s">
        <v>572</v>
      </c>
      <c r="F2" s="203" t="s">
        <v>725</v>
      </c>
    </row>
    <row r="3" spans="1:6" ht="27" customHeight="1" x14ac:dyDescent="0.35">
      <c r="A3" s="78"/>
      <c r="B3" s="172" t="s">
        <v>144</v>
      </c>
      <c r="C3" s="108"/>
      <c r="D3" s="109"/>
      <c r="E3" s="246"/>
      <c r="F3" s="265"/>
    </row>
    <row r="4" spans="1:6" ht="27" customHeight="1" x14ac:dyDescent="0.35">
      <c r="A4" s="4"/>
      <c r="B4" s="151" t="s">
        <v>143</v>
      </c>
      <c r="C4" s="97"/>
      <c r="D4" s="98"/>
      <c r="E4" s="198"/>
      <c r="F4" s="155"/>
    </row>
    <row r="5" spans="1:6" ht="27" customHeight="1" x14ac:dyDescent="0.35">
      <c r="A5" s="4"/>
      <c r="B5" s="151" t="s">
        <v>142</v>
      </c>
      <c r="C5" s="97"/>
      <c r="D5" s="98"/>
      <c r="E5" s="198"/>
      <c r="F5" s="155"/>
    </row>
    <row r="6" spans="1:6" x14ac:dyDescent="0.35">
      <c r="B6"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87FCD-169C-47FD-8853-6772C1A819B8}">
  <sheetPr codeName="Sheet27"/>
  <dimension ref="A1:F40"/>
  <sheetViews>
    <sheetView showGridLines="0" view="pageBreakPreview" zoomScale="70" zoomScaleNormal="110" zoomScaleSheetLayoutView="70" workbookViewId="0">
      <selection sqref="A1:F1"/>
    </sheetView>
  </sheetViews>
  <sheetFormatPr baseColWidth="10" defaultColWidth="9.33203125" defaultRowHeight="13.5" x14ac:dyDescent="0.35"/>
  <cols>
    <col min="1" max="1" width="5.6640625" style="5" customWidth="1"/>
    <col min="2" max="2" width="81.6640625" style="6" customWidth="1"/>
    <col min="3" max="5" width="5.6640625" style="6" customWidth="1"/>
    <col min="6" max="6" width="15.77734375" style="6" customWidth="1"/>
    <col min="7" max="16384" width="9.33203125" style="6"/>
  </cols>
  <sheetData>
    <row r="1" spans="1:6" s="13" customFormat="1" ht="24" customHeight="1" x14ac:dyDescent="0.35">
      <c r="A1" s="308" t="s">
        <v>621</v>
      </c>
      <c r="B1" s="308"/>
      <c r="C1" s="308"/>
      <c r="D1" s="308"/>
      <c r="E1" s="308"/>
      <c r="F1" s="308"/>
    </row>
    <row r="2" spans="1:6" s="13" customFormat="1" ht="84" customHeight="1" x14ac:dyDescent="0.35">
      <c r="A2" s="319" t="s">
        <v>743</v>
      </c>
      <c r="B2" s="320"/>
      <c r="C2" s="320"/>
      <c r="D2" s="320"/>
      <c r="E2" s="320"/>
      <c r="F2" s="321"/>
    </row>
    <row r="3" spans="1:6" s="5" customFormat="1" x14ac:dyDescent="0.35">
      <c r="A3" s="1" t="s">
        <v>298</v>
      </c>
      <c r="B3" s="19" t="s">
        <v>169</v>
      </c>
      <c r="C3" s="97" t="s">
        <v>295</v>
      </c>
      <c r="D3" s="98" t="s">
        <v>571</v>
      </c>
      <c r="E3" s="96" t="s">
        <v>572</v>
      </c>
      <c r="F3" s="203" t="s">
        <v>725</v>
      </c>
    </row>
    <row r="4" spans="1:6" x14ac:dyDescent="0.35">
      <c r="A4" s="176" t="s">
        <v>77</v>
      </c>
      <c r="B4" s="150" t="s">
        <v>164</v>
      </c>
      <c r="C4" s="104"/>
      <c r="D4" s="106"/>
      <c r="E4" s="213"/>
      <c r="F4" s="249"/>
    </row>
    <row r="5" spans="1:6" x14ac:dyDescent="0.35">
      <c r="A5" s="67" t="s">
        <v>79</v>
      </c>
      <c r="B5" s="48" t="s">
        <v>163</v>
      </c>
      <c r="C5" s="97"/>
      <c r="D5" s="98"/>
      <c r="E5" s="198"/>
      <c r="F5" s="155"/>
    </row>
    <row r="6" spans="1:6" x14ac:dyDescent="0.35">
      <c r="A6" s="67" t="s">
        <v>76</v>
      </c>
      <c r="B6" s="48" t="s">
        <v>162</v>
      </c>
      <c r="C6" s="97"/>
      <c r="D6" s="98"/>
      <c r="E6" s="198"/>
      <c r="F6" s="155"/>
    </row>
    <row r="7" spans="1:6" x14ac:dyDescent="0.35">
      <c r="A7" s="67" t="s">
        <v>80</v>
      </c>
      <c r="B7" s="48" t="s">
        <v>691</v>
      </c>
      <c r="C7" s="97"/>
      <c r="D7" s="98"/>
      <c r="E7" s="198"/>
      <c r="F7" s="155"/>
    </row>
    <row r="8" spans="1:6" x14ac:dyDescent="0.35">
      <c r="A8" s="176" t="s">
        <v>73</v>
      </c>
      <c r="B8" s="150" t="s">
        <v>161</v>
      </c>
      <c r="C8" s="104"/>
      <c r="D8" s="106"/>
      <c r="E8" s="213"/>
      <c r="F8" s="219"/>
    </row>
    <row r="9" spans="1:6" x14ac:dyDescent="0.35">
      <c r="A9" s="67" t="s">
        <v>79</v>
      </c>
      <c r="B9" s="153" t="s">
        <v>738</v>
      </c>
      <c r="C9" s="97"/>
      <c r="D9" s="98"/>
      <c r="E9" s="198"/>
      <c r="F9" s="155"/>
    </row>
    <row r="10" spans="1:6" x14ac:dyDescent="0.35">
      <c r="A10" s="67"/>
      <c r="B10" s="153" t="s">
        <v>715</v>
      </c>
      <c r="C10" s="97"/>
      <c r="D10" s="98"/>
      <c r="E10" s="198"/>
      <c r="F10" s="155"/>
    </row>
    <row r="11" spans="1:6" x14ac:dyDescent="0.35">
      <c r="A11" s="67" t="s">
        <v>76</v>
      </c>
      <c r="B11" s="153" t="s">
        <v>160</v>
      </c>
      <c r="C11" s="97"/>
      <c r="D11" s="98"/>
      <c r="E11" s="198"/>
      <c r="F11" s="155"/>
    </row>
    <row r="12" spans="1:6" x14ac:dyDescent="0.35">
      <c r="A12" s="4" t="s">
        <v>159</v>
      </c>
      <c r="B12" s="151" t="s">
        <v>692</v>
      </c>
      <c r="C12" s="97"/>
      <c r="D12" s="98"/>
      <c r="E12" s="198"/>
      <c r="F12" s="155"/>
    </row>
    <row r="13" spans="1:6" x14ac:dyDescent="0.35">
      <c r="A13" s="4" t="s">
        <v>695</v>
      </c>
      <c r="B13" s="151" t="s">
        <v>693</v>
      </c>
      <c r="C13" s="97"/>
      <c r="D13" s="98"/>
      <c r="E13" s="198"/>
      <c r="F13" s="155"/>
    </row>
    <row r="14" spans="1:6" x14ac:dyDescent="0.35">
      <c r="A14" s="74" t="s">
        <v>82</v>
      </c>
      <c r="B14" s="150" t="s">
        <v>158</v>
      </c>
      <c r="C14" s="104"/>
      <c r="D14" s="106"/>
      <c r="E14" s="213"/>
      <c r="F14" s="219"/>
    </row>
    <row r="15" spans="1:6" x14ac:dyDescent="0.35">
      <c r="A15" s="67"/>
      <c r="B15" s="267" t="s">
        <v>748</v>
      </c>
      <c r="C15" s="97"/>
      <c r="D15" s="98"/>
      <c r="E15" s="198"/>
      <c r="F15" s="155"/>
    </row>
    <row r="16" spans="1:6" x14ac:dyDescent="0.35">
      <c r="A16" s="74" t="s">
        <v>83</v>
      </c>
      <c r="B16" s="150" t="s">
        <v>552</v>
      </c>
      <c r="C16" s="104"/>
      <c r="D16" s="106"/>
      <c r="E16" s="213"/>
      <c r="F16" s="219"/>
    </row>
    <row r="17" spans="1:6" x14ac:dyDescent="0.35">
      <c r="A17" s="67" t="s">
        <v>74</v>
      </c>
      <c r="B17" s="153" t="s">
        <v>739</v>
      </c>
      <c r="C17" s="97"/>
      <c r="D17" s="98"/>
      <c r="E17" s="198"/>
      <c r="F17" s="155"/>
    </row>
    <row r="18" spans="1:6" x14ac:dyDescent="0.35">
      <c r="A18" s="4" t="s">
        <v>66</v>
      </c>
      <c r="B18" s="153" t="s">
        <v>553</v>
      </c>
      <c r="C18" s="97"/>
      <c r="D18" s="98"/>
      <c r="E18" s="198"/>
      <c r="F18" s="155"/>
    </row>
    <row r="19" spans="1:6" x14ac:dyDescent="0.35">
      <c r="A19" s="4" t="s">
        <v>68</v>
      </c>
      <c r="B19" s="267" t="s">
        <v>749</v>
      </c>
      <c r="C19" s="97"/>
      <c r="D19" s="98"/>
      <c r="E19" s="198"/>
      <c r="F19" s="155"/>
    </row>
    <row r="20" spans="1:6" x14ac:dyDescent="0.35">
      <c r="A20" s="177" t="s">
        <v>70</v>
      </c>
      <c r="B20" s="88" t="s">
        <v>157</v>
      </c>
      <c r="C20" s="110"/>
      <c r="D20" s="111"/>
      <c r="E20" s="266"/>
      <c r="F20" s="268"/>
    </row>
    <row r="21" spans="1:6" x14ac:dyDescent="0.35">
      <c r="A21" s="4" t="s">
        <v>69</v>
      </c>
      <c r="B21" s="151" t="s">
        <v>156</v>
      </c>
      <c r="C21" s="97"/>
      <c r="D21" s="98"/>
      <c r="E21" s="198"/>
      <c r="F21" s="155"/>
    </row>
    <row r="22" spans="1:6" x14ac:dyDescent="0.35">
      <c r="A22" s="4" t="s">
        <v>65</v>
      </c>
      <c r="B22" s="151" t="s">
        <v>554</v>
      </c>
      <c r="C22" s="97"/>
      <c r="D22" s="98"/>
      <c r="E22" s="198"/>
      <c r="F22" s="155"/>
    </row>
    <row r="23" spans="1:6" x14ac:dyDescent="0.35">
      <c r="A23" s="4" t="s">
        <v>67</v>
      </c>
      <c r="B23" s="151" t="s">
        <v>155</v>
      </c>
      <c r="C23" s="97"/>
      <c r="D23" s="98"/>
      <c r="E23" s="198"/>
      <c r="F23" s="155"/>
    </row>
    <row r="24" spans="1:6" x14ac:dyDescent="0.35">
      <c r="A24" s="4" t="s">
        <v>84</v>
      </c>
      <c r="B24" s="151" t="s">
        <v>154</v>
      </c>
      <c r="C24" s="97"/>
      <c r="D24" s="98"/>
      <c r="E24" s="198"/>
      <c r="F24" s="155"/>
    </row>
    <row r="25" spans="1:6" x14ac:dyDescent="0.35">
      <c r="A25" s="4" t="s">
        <v>98</v>
      </c>
      <c r="B25" s="151" t="s">
        <v>694</v>
      </c>
      <c r="C25" s="97"/>
      <c r="D25" s="98"/>
      <c r="E25" s="198"/>
      <c r="F25" s="155"/>
    </row>
    <row r="26" spans="1:6" x14ac:dyDescent="0.35">
      <c r="A26" s="4" t="s">
        <v>85</v>
      </c>
      <c r="B26" s="151" t="s">
        <v>555</v>
      </c>
      <c r="C26" s="97"/>
      <c r="D26" s="98"/>
      <c r="E26" s="198"/>
      <c r="F26" s="155"/>
    </row>
    <row r="27" spans="1:6" x14ac:dyDescent="0.35">
      <c r="A27" s="4" t="s">
        <v>86</v>
      </c>
      <c r="B27" s="151" t="s">
        <v>556</v>
      </c>
      <c r="C27" s="97"/>
      <c r="D27" s="98"/>
      <c r="E27" s="198"/>
      <c r="F27" s="155"/>
    </row>
    <row r="28" spans="1:6" x14ac:dyDescent="0.35">
      <c r="A28" s="4" t="s">
        <v>87</v>
      </c>
      <c r="B28" s="48" t="s">
        <v>557</v>
      </c>
      <c r="C28" s="97"/>
      <c r="D28" s="98"/>
      <c r="E28" s="198"/>
      <c r="F28" s="155"/>
    </row>
    <row r="29" spans="1:6" x14ac:dyDescent="0.35">
      <c r="A29" s="177" t="s">
        <v>149</v>
      </c>
      <c r="B29" s="88" t="s">
        <v>153</v>
      </c>
      <c r="C29" s="110"/>
      <c r="D29" s="111"/>
      <c r="E29" s="266"/>
      <c r="F29" s="268"/>
    </row>
    <row r="30" spans="1:6" x14ac:dyDescent="0.35">
      <c r="A30" s="4"/>
      <c r="B30" s="151" t="s">
        <v>381</v>
      </c>
      <c r="C30" s="97"/>
      <c r="D30" s="98"/>
      <c r="E30" s="198"/>
      <c r="F30" s="155"/>
    </row>
    <row r="31" spans="1:6" x14ac:dyDescent="0.35">
      <c r="A31" s="4"/>
      <c r="B31" s="151" t="s">
        <v>152</v>
      </c>
      <c r="C31" s="97"/>
      <c r="D31" s="98"/>
      <c r="E31" s="198"/>
      <c r="F31" s="155"/>
    </row>
    <row r="32" spans="1:6" x14ac:dyDescent="0.35">
      <c r="A32" s="4"/>
      <c r="B32" s="151" t="s">
        <v>151</v>
      </c>
      <c r="C32" s="97"/>
      <c r="D32" s="98"/>
      <c r="E32" s="198"/>
      <c r="F32" s="155"/>
    </row>
    <row r="33" spans="1:6" x14ac:dyDescent="0.35">
      <c r="A33" s="4"/>
      <c r="B33" s="151" t="s">
        <v>150</v>
      </c>
      <c r="C33" s="97"/>
      <c r="D33" s="98"/>
      <c r="E33" s="198"/>
      <c r="F33" s="155"/>
    </row>
    <row r="34" spans="1:6" x14ac:dyDescent="0.35">
      <c r="A34" s="177" t="s">
        <v>536</v>
      </c>
      <c r="B34" s="88" t="s">
        <v>148</v>
      </c>
      <c r="C34" s="110"/>
      <c r="D34" s="111"/>
      <c r="E34" s="266"/>
      <c r="F34" s="268"/>
    </row>
    <row r="35" spans="1:6" x14ac:dyDescent="0.35">
      <c r="A35" s="4"/>
      <c r="B35" s="151" t="s">
        <v>147</v>
      </c>
      <c r="C35" s="97"/>
      <c r="D35" s="98"/>
      <c r="E35" s="198"/>
      <c r="F35" s="155"/>
    </row>
    <row r="36" spans="1:6" x14ac:dyDescent="0.35">
      <c r="A36" s="177" t="s">
        <v>146</v>
      </c>
      <c r="B36" s="88" t="s">
        <v>145</v>
      </c>
      <c r="C36" s="110"/>
      <c r="D36" s="111"/>
      <c r="E36" s="266"/>
      <c r="F36" s="268"/>
    </row>
    <row r="37" spans="1:6" ht="50.25" customHeight="1" x14ac:dyDescent="0.35">
      <c r="A37" s="4"/>
      <c r="B37" s="48" t="s">
        <v>716</v>
      </c>
      <c r="C37" s="97"/>
      <c r="D37" s="98"/>
      <c r="E37" s="198"/>
      <c r="F37" s="155"/>
    </row>
    <row r="40" spans="1:6" x14ac:dyDescent="0.35">
      <c r="B40" s="20"/>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rowBreaks count="1" manualBreakCount="1">
    <brk id="37"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657C2-C58E-41EF-83E8-1813589F392A}">
  <sheetPr codeName="Sheet28"/>
  <dimension ref="A1:F23"/>
  <sheetViews>
    <sheetView showGridLines="0" view="pageBreakPreview" zoomScale="70" zoomScaleNormal="110" zoomScaleSheetLayoutView="70" workbookViewId="0">
      <selection activeCell="C3" sqref="C3:C17"/>
    </sheetView>
  </sheetViews>
  <sheetFormatPr baseColWidth="10" defaultColWidth="9.33203125" defaultRowHeight="13.5" x14ac:dyDescent="0.35"/>
  <cols>
    <col min="1" max="1" width="5.6640625" style="18" customWidth="1"/>
    <col min="2" max="2" width="81.6640625" style="14" customWidth="1"/>
    <col min="3" max="5" width="5.6640625" style="14" customWidth="1"/>
    <col min="6" max="6" width="15.77734375" style="14" customWidth="1"/>
    <col min="7" max="16384" width="9.33203125" style="14"/>
  </cols>
  <sheetData>
    <row r="1" spans="1:6" s="13" customFormat="1" ht="24" customHeight="1" x14ac:dyDescent="0.35">
      <c r="A1" s="308" t="s">
        <v>617</v>
      </c>
      <c r="B1" s="308"/>
      <c r="C1" s="308"/>
      <c r="D1" s="308"/>
      <c r="E1" s="308"/>
      <c r="F1" s="308"/>
    </row>
    <row r="2" spans="1:6" s="5" customFormat="1" x14ac:dyDescent="0.35">
      <c r="A2" s="50" t="s">
        <v>298</v>
      </c>
      <c r="B2" s="155" t="s">
        <v>169</v>
      </c>
      <c r="C2" s="97" t="s">
        <v>295</v>
      </c>
      <c r="D2" s="98" t="s">
        <v>571</v>
      </c>
      <c r="E2" s="96" t="s">
        <v>572</v>
      </c>
      <c r="F2" s="203" t="s">
        <v>725</v>
      </c>
    </row>
    <row r="3" spans="1:6" ht="17.25" customHeight="1" x14ac:dyDescent="0.35">
      <c r="A3" s="65" t="s">
        <v>77</v>
      </c>
      <c r="B3" s="172" t="s">
        <v>177</v>
      </c>
      <c r="C3" s="108"/>
      <c r="D3" s="109"/>
      <c r="E3" s="246"/>
      <c r="F3" s="265"/>
    </row>
    <row r="4" spans="1:6" ht="17.25" customHeight="1" x14ac:dyDescent="0.35">
      <c r="A4" s="50"/>
      <c r="B4" s="153" t="s">
        <v>176</v>
      </c>
      <c r="C4" s="97"/>
      <c r="D4" s="98"/>
      <c r="E4" s="198"/>
      <c r="F4" s="155"/>
    </row>
    <row r="5" spans="1:6" ht="17.25" customHeight="1" x14ac:dyDescent="0.35">
      <c r="A5" s="50"/>
      <c r="B5" s="153" t="s">
        <v>175</v>
      </c>
      <c r="C5" s="97"/>
      <c r="D5" s="98"/>
      <c r="E5" s="198"/>
      <c r="F5" s="155"/>
    </row>
    <row r="6" spans="1:6" ht="17.25" customHeight="1" x14ac:dyDescent="0.35">
      <c r="A6" s="50"/>
      <c r="B6" s="153" t="s">
        <v>174</v>
      </c>
      <c r="C6" s="97"/>
      <c r="D6" s="98"/>
      <c r="E6" s="198"/>
      <c r="F6" s="155"/>
    </row>
    <row r="7" spans="1:6" ht="17.25" customHeight="1" x14ac:dyDescent="0.35">
      <c r="A7" s="45"/>
      <c r="B7" s="149" t="s">
        <v>173</v>
      </c>
      <c r="C7" s="99"/>
      <c r="D7" s="103"/>
      <c r="E7" s="53"/>
      <c r="F7" s="228"/>
    </row>
    <row r="8" spans="1:6" ht="17.25" customHeight="1" x14ac:dyDescent="0.35">
      <c r="A8" s="50"/>
      <c r="B8" s="153" t="s">
        <v>172</v>
      </c>
      <c r="C8" s="97"/>
      <c r="D8" s="98"/>
      <c r="E8" s="198"/>
      <c r="F8" s="155"/>
    </row>
    <row r="9" spans="1:6" ht="17.25" customHeight="1" x14ac:dyDescent="0.35">
      <c r="A9" s="50"/>
      <c r="B9" s="153" t="s">
        <v>171</v>
      </c>
      <c r="C9" s="97"/>
      <c r="D9" s="98"/>
      <c r="E9" s="198"/>
      <c r="F9" s="155"/>
    </row>
    <row r="10" spans="1:6" ht="17.25" customHeight="1" x14ac:dyDescent="0.35">
      <c r="A10" s="50"/>
      <c r="B10" s="153" t="s">
        <v>170</v>
      </c>
      <c r="C10" s="97"/>
      <c r="D10" s="98"/>
      <c r="E10" s="198"/>
      <c r="F10" s="155"/>
    </row>
    <row r="11" spans="1:6" ht="17.25" customHeight="1" x14ac:dyDescent="0.35">
      <c r="A11" s="45" t="s">
        <v>651</v>
      </c>
      <c r="B11" s="149" t="s">
        <v>696</v>
      </c>
      <c r="C11" s="99"/>
      <c r="D11" s="103"/>
      <c r="E11" s="53"/>
      <c r="F11" s="228"/>
    </row>
    <row r="12" spans="1:6" ht="17.25" customHeight="1" x14ac:dyDescent="0.35">
      <c r="A12" s="50" t="s">
        <v>74</v>
      </c>
      <c r="B12" s="267" t="s">
        <v>750</v>
      </c>
      <c r="C12" s="97"/>
      <c r="D12" s="98"/>
      <c r="E12" s="198"/>
      <c r="F12" s="155"/>
    </row>
    <row r="13" spans="1:6" ht="17.25" customHeight="1" x14ac:dyDescent="0.35">
      <c r="A13" s="50" t="s">
        <v>66</v>
      </c>
      <c r="B13" s="153" t="s">
        <v>168</v>
      </c>
      <c r="C13" s="97"/>
      <c r="D13" s="98"/>
      <c r="E13" s="198"/>
      <c r="F13" s="155"/>
    </row>
    <row r="14" spans="1:6" ht="17.25" customHeight="1" x14ac:dyDescent="0.35">
      <c r="A14" s="50" t="s">
        <v>68</v>
      </c>
      <c r="B14" s="153" t="s">
        <v>167</v>
      </c>
      <c r="C14" s="97"/>
      <c r="D14" s="98"/>
      <c r="E14" s="198"/>
      <c r="F14" s="155"/>
    </row>
    <row r="15" spans="1:6" ht="17.25" customHeight="1" x14ac:dyDescent="0.35">
      <c r="A15" s="50" t="s">
        <v>70</v>
      </c>
      <c r="B15" s="153" t="s">
        <v>166</v>
      </c>
      <c r="C15" s="97"/>
      <c r="D15" s="98"/>
      <c r="E15" s="198"/>
      <c r="F15" s="155"/>
    </row>
    <row r="16" spans="1:6" ht="17.25" customHeight="1" x14ac:dyDescent="0.35">
      <c r="A16" s="45" t="s">
        <v>652</v>
      </c>
      <c r="B16" s="149" t="s">
        <v>296</v>
      </c>
      <c r="C16" s="99"/>
      <c r="D16" s="103"/>
      <c r="E16" s="53"/>
      <c r="F16" s="228"/>
    </row>
    <row r="17" spans="1:6" ht="17.25" customHeight="1" x14ac:dyDescent="0.35">
      <c r="A17" s="45" t="s">
        <v>653</v>
      </c>
      <c r="B17" s="149" t="s">
        <v>165</v>
      </c>
      <c r="C17" s="99"/>
      <c r="D17" s="103"/>
      <c r="E17" s="53"/>
      <c r="F17" s="228"/>
    </row>
    <row r="18" spans="1:6" x14ac:dyDescent="0.35">
      <c r="B18" s="20"/>
    </row>
    <row r="22" spans="1:6" x14ac:dyDescent="0.35">
      <c r="F22" s="6"/>
    </row>
    <row r="23" spans="1:6" x14ac:dyDescent="0.35">
      <c r="F23" s="6"/>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088A4-E0ED-408C-9CF8-E6F807DF63BD}">
  <sheetPr codeName="Sheet29"/>
  <dimension ref="A1:F6"/>
  <sheetViews>
    <sheetView showGridLines="0" view="pageBreakPreview" zoomScale="60" zoomScaleNormal="110" workbookViewId="0">
      <selection activeCell="F27" sqref="F27"/>
    </sheetView>
  </sheetViews>
  <sheetFormatPr baseColWidth="10" defaultColWidth="9.33203125" defaultRowHeight="13.5" x14ac:dyDescent="0.35"/>
  <cols>
    <col min="1" max="1" width="5.6640625" style="18" customWidth="1"/>
    <col min="2" max="2" width="81.6640625" style="14" customWidth="1"/>
    <col min="3" max="5" width="5.6640625" style="14" customWidth="1"/>
    <col min="6" max="6" width="15.77734375" style="14" customWidth="1"/>
    <col min="7" max="16384" width="9.33203125" style="14"/>
  </cols>
  <sheetData>
    <row r="1" spans="1:6" s="13" customFormat="1" ht="24" customHeight="1" x14ac:dyDescent="0.35">
      <c r="A1" s="308" t="s">
        <v>620</v>
      </c>
      <c r="B1" s="308"/>
      <c r="C1" s="308"/>
      <c r="D1" s="308"/>
      <c r="E1" s="308"/>
      <c r="F1" s="308"/>
    </row>
    <row r="2" spans="1:6" s="5" customFormat="1" ht="18.75" customHeight="1" x14ac:dyDescent="0.35">
      <c r="A2" s="50" t="s">
        <v>298</v>
      </c>
      <c r="B2" s="155" t="s">
        <v>169</v>
      </c>
      <c r="C2" s="97" t="s">
        <v>295</v>
      </c>
      <c r="D2" s="98" t="s">
        <v>571</v>
      </c>
      <c r="E2" s="96" t="s">
        <v>572</v>
      </c>
      <c r="F2" s="203" t="s">
        <v>725</v>
      </c>
    </row>
    <row r="3" spans="1:6" ht="18.75" customHeight="1" x14ac:dyDescent="0.35">
      <c r="A3" s="78"/>
      <c r="B3" s="172" t="s">
        <v>180</v>
      </c>
      <c r="C3" s="108"/>
      <c r="D3" s="109"/>
      <c r="E3" s="246"/>
      <c r="F3" s="265"/>
    </row>
    <row r="4" spans="1:6" ht="18.75" customHeight="1" x14ac:dyDescent="0.35">
      <c r="A4" s="50"/>
      <c r="B4" s="153" t="s">
        <v>179</v>
      </c>
      <c r="C4" s="97"/>
      <c r="D4" s="98"/>
      <c r="E4" s="198"/>
      <c r="F4" s="155"/>
    </row>
    <row r="5" spans="1:6" ht="18.75" customHeight="1" x14ac:dyDescent="0.35">
      <c r="A5" s="50"/>
      <c r="B5" s="153" t="s">
        <v>178</v>
      </c>
      <c r="C5" s="97"/>
      <c r="D5" s="98"/>
      <c r="E5" s="198"/>
      <c r="F5" s="155"/>
    </row>
    <row r="6" spans="1:6" x14ac:dyDescent="0.35">
      <c r="B6"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5779-3947-4C28-9BF7-6431032ED7C6}">
  <sheetPr codeName="Sheet30"/>
  <dimension ref="A1:N11"/>
  <sheetViews>
    <sheetView showGridLines="0" view="pageBreakPreview" zoomScale="70" zoomScaleNormal="110" zoomScaleSheetLayoutView="70" workbookViewId="0">
      <selection activeCell="O37" sqref="O37"/>
    </sheetView>
  </sheetViews>
  <sheetFormatPr baseColWidth="10" defaultColWidth="9.33203125" defaultRowHeight="13.5" x14ac:dyDescent="0.35"/>
  <cols>
    <col min="1" max="1" width="5.6640625" style="18" customWidth="1"/>
    <col min="2" max="2" width="81.6640625" style="14" customWidth="1"/>
    <col min="3" max="5" width="5.6640625" style="14" customWidth="1"/>
    <col min="6" max="6" width="15.77734375" style="14" customWidth="1"/>
    <col min="7" max="16384" width="9.33203125" style="14"/>
  </cols>
  <sheetData>
    <row r="1" spans="1:14" s="13" customFormat="1" ht="24" customHeight="1" x14ac:dyDescent="0.35">
      <c r="A1" s="308" t="s">
        <v>616</v>
      </c>
      <c r="B1" s="308"/>
      <c r="C1" s="308"/>
      <c r="D1" s="308"/>
      <c r="E1" s="308"/>
      <c r="F1" s="308"/>
    </row>
    <row r="2" spans="1:14" s="5" customFormat="1" x14ac:dyDescent="0.35">
      <c r="A2" s="50" t="s">
        <v>298</v>
      </c>
      <c r="B2" s="155" t="s">
        <v>169</v>
      </c>
      <c r="C2" s="97" t="s">
        <v>295</v>
      </c>
      <c r="D2" s="98" t="s">
        <v>571</v>
      </c>
      <c r="E2" s="96" t="s">
        <v>572</v>
      </c>
      <c r="F2" s="203" t="s">
        <v>725</v>
      </c>
    </row>
    <row r="3" spans="1:14" ht="19.5" customHeight="1" x14ac:dyDescent="0.35">
      <c r="A3" s="78"/>
      <c r="B3" s="172" t="s">
        <v>185</v>
      </c>
      <c r="C3" s="108"/>
      <c r="D3" s="109"/>
      <c r="E3" s="246"/>
      <c r="F3" s="265"/>
    </row>
    <row r="4" spans="1:14" ht="19.5" customHeight="1" x14ac:dyDescent="0.35">
      <c r="A4" s="50"/>
      <c r="B4" s="151" t="s">
        <v>184</v>
      </c>
      <c r="C4" s="97"/>
      <c r="D4" s="98"/>
      <c r="E4" s="198"/>
      <c r="F4" s="155"/>
    </row>
    <row r="5" spans="1:14" ht="19.5" customHeight="1" x14ac:dyDescent="0.35">
      <c r="A5" s="50"/>
      <c r="B5" s="151" t="s">
        <v>183</v>
      </c>
      <c r="C5" s="97"/>
      <c r="D5" s="98"/>
      <c r="E5" s="198"/>
      <c r="F5" s="155"/>
    </row>
    <row r="6" spans="1:14" ht="19.5" customHeight="1" x14ac:dyDescent="0.35">
      <c r="A6" s="50"/>
      <c r="B6" s="151" t="s">
        <v>697</v>
      </c>
      <c r="C6" s="97"/>
      <c r="D6" s="98"/>
      <c r="E6" s="198"/>
      <c r="F6" s="155"/>
      <c r="N6" s="6"/>
    </row>
    <row r="7" spans="1:14" ht="19.5" customHeight="1" x14ac:dyDescent="0.35">
      <c r="A7" s="50"/>
      <c r="B7" s="151" t="s">
        <v>182</v>
      </c>
      <c r="C7" s="97"/>
      <c r="D7" s="98"/>
      <c r="E7" s="198"/>
      <c r="F7" s="155"/>
      <c r="K7" s="16"/>
    </row>
    <row r="8" spans="1:14" ht="19.5" customHeight="1" x14ac:dyDescent="0.35">
      <c r="A8" s="50"/>
      <c r="B8" s="151" t="s">
        <v>181</v>
      </c>
      <c r="C8" s="97"/>
      <c r="D8" s="98"/>
      <c r="E8" s="198"/>
      <c r="F8" s="155"/>
    </row>
    <row r="9" spans="1:14" ht="19.5" customHeight="1" x14ac:dyDescent="0.35">
      <c r="A9" s="50"/>
      <c r="B9" s="151" t="s">
        <v>558</v>
      </c>
      <c r="C9" s="97"/>
      <c r="D9" s="98"/>
      <c r="E9" s="198"/>
      <c r="F9" s="155"/>
    </row>
    <row r="10" spans="1:14" ht="19.5" customHeight="1" x14ac:dyDescent="0.35">
      <c r="A10" s="50"/>
      <c r="B10" s="151" t="s">
        <v>559</v>
      </c>
      <c r="C10" s="97"/>
      <c r="D10" s="98"/>
      <c r="E10" s="198"/>
      <c r="F10" s="155"/>
    </row>
    <row r="11" spans="1:14" x14ac:dyDescent="0.35">
      <c r="B11"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94A1A-F7E5-4CAC-95C6-8653F7944040}">
  <sheetPr codeName="Sheet31"/>
  <dimension ref="A1:N32"/>
  <sheetViews>
    <sheetView showGridLines="0" view="pageBreakPreview" zoomScale="70" zoomScaleNormal="110" zoomScaleSheetLayoutView="70" workbookViewId="0">
      <selection sqref="A1:F1"/>
    </sheetView>
  </sheetViews>
  <sheetFormatPr baseColWidth="10" defaultColWidth="9.33203125" defaultRowHeight="13.5" x14ac:dyDescent="0.35"/>
  <cols>
    <col min="1" max="1" width="5.6640625" style="18" customWidth="1"/>
    <col min="2" max="2" width="81.6640625" style="14" customWidth="1"/>
    <col min="3" max="5" width="5.6640625" style="14" customWidth="1"/>
    <col min="6" max="6" width="15.77734375" style="14" customWidth="1"/>
    <col min="7" max="16384" width="9.33203125" style="14"/>
  </cols>
  <sheetData>
    <row r="1" spans="1:14" s="13" customFormat="1" ht="24" customHeight="1" x14ac:dyDescent="0.35">
      <c r="A1" s="308" t="s">
        <v>614</v>
      </c>
      <c r="B1" s="308"/>
      <c r="C1" s="308"/>
      <c r="D1" s="308"/>
      <c r="E1" s="308"/>
      <c r="F1" s="308"/>
    </row>
    <row r="2" spans="1:14" s="13" customFormat="1" ht="41.5" customHeight="1" x14ac:dyDescent="0.35">
      <c r="A2" s="319" t="s">
        <v>742</v>
      </c>
      <c r="B2" s="320"/>
      <c r="C2" s="320"/>
      <c r="D2" s="320"/>
      <c r="E2" s="320"/>
      <c r="F2" s="321"/>
    </row>
    <row r="3" spans="1:14" s="5" customFormat="1" x14ac:dyDescent="0.35">
      <c r="A3" s="50" t="s">
        <v>298</v>
      </c>
      <c r="B3" s="155" t="s">
        <v>169</v>
      </c>
      <c r="C3" s="97" t="s">
        <v>295</v>
      </c>
      <c r="D3" s="98" t="s">
        <v>571</v>
      </c>
      <c r="E3" s="96" t="s">
        <v>572</v>
      </c>
      <c r="F3" s="203" t="s">
        <v>725</v>
      </c>
    </row>
    <row r="4" spans="1:14" x14ac:dyDescent="0.35">
      <c r="A4" s="65" t="s">
        <v>77</v>
      </c>
      <c r="B4" s="172" t="s">
        <v>211</v>
      </c>
      <c r="C4" s="108"/>
      <c r="D4" s="109"/>
      <c r="E4" s="246"/>
      <c r="F4" s="246"/>
    </row>
    <row r="5" spans="1:14" x14ac:dyDescent="0.35">
      <c r="A5" s="50"/>
      <c r="B5" s="144" t="s">
        <v>210</v>
      </c>
      <c r="C5" s="97"/>
      <c r="D5" s="98"/>
      <c r="E5" s="198"/>
      <c r="F5" s="155"/>
    </row>
    <row r="6" spans="1:14" x14ac:dyDescent="0.35">
      <c r="A6" s="50"/>
      <c r="B6" s="144" t="s">
        <v>209</v>
      </c>
      <c r="C6" s="97"/>
      <c r="D6" s="98"/>
      <c r="E6" s="198"/>
      <c r="F6" s="155"/>
    </row>
    <row r="7" spans="1:14" x14ac:dyDescent="0.35">
      <c r="A7" s="50"/>
      <c r="B7" s="144" t="s">
        <v>208</v>
      </c>
      <c r="C7" s="97"/>
      <c r="D7" s="98"/>
      <c r="E7" s="198"/>
      <c r="F7" s="155"/>
      <c r="N7" s="6"/>
    </row>
    <row r="8" spans="1:14" ht="27" x14ac:dyDescent="0.35">
      <c r="A8" s="50"/>
      <c r="B8" s="130" t="s">
        <v>207</v>
      </c>
      <c r="C8" s="97"/>
      <c r="D8" s="98"/>
      <c r="E8" s="198"/>
      <c r="F8" s="155"/>
      <c r="K8" s="16"/>
    </row>
    <row r="9" spans="1:14" x14ac:dyDescent="0.35">
      <c r="A9" s="50"/>
      <c r="B9" s="270" t="s">
        <v>206</v>
      </c>
      <c r="C9" s="97"/>
      <c r="D9" s="98"/>
      <c r="E9" s="198"/>
      <c r="F9" s="155"/>
    </row>
    <row r="10" spans="1:14" x14ac:dyDescent="0.35">
      <c r="A10" s="74"/>
      <c r="B10" s="150" t="s">
        <v>205</v>
      </c>
      <c r="C10" s="104"/>
      <c r="D10" s="106"/>
      <c r="E10" s="213"/>
      <c r="F10" s="219"/>
    </row>
    <row r="11" spans="1:14" x14ac:dyDescent="0.35">
      <c r="A11" s="50"/>
      <c r="B11" s="151" t="s">
        <v>9</v>
      </c>
      <c r="C11" s="97"/>
      <c r="D11" s="98"/>
      <c r="E11" s="198"/>
      <c r="F11" s="155"/>
    </row>
    <row r="12" spans="1:14" x14ac:dyDescent="0.35">
      <c r="A12" s="50"/>
      <c r="B12" s="151" t="s">
        <v>382</v>
      </c>
      <c r="C12" s="97"/>
      <c r="D12" s="98"/>
      <c r="E12" s="198"/>
      <c r="F12" s="155"/>
    </row>
    <row r="13" spans="1:14" x14ac:dyDescent="0.35">
      <c r="A13" s="74"/>
      <c r="B13" s="150" t="s">
        <v>204</v>
      </c>
      <c r="C13" s="104"/>
      <c r="D13" s="106"/>
      <c r="E13" s="213"/>
      <c r="F13" s="219"/>
    </row>
    <row r="14" spans="1:14" x14ac:dyDescent="0.35">
      <c r="A14" s="50"/>
      <c r="B14" s="151" t="s">
        <v>203</v>
      </c>
      <c r="C14" s="97"/>
      <c r="D14" s="98"/>
      <c r="E14" s="198"/>
      <c r="F14" s="155"/>
    </row>
    <row r="15" spans="1:14" x14ac:dyDescent="0.35">
      <c r="A15" s="50"/>
      <c r="B15" s="151" t="s">
        <v>202</v>
      </c>
      <c r="C15" s="97"/>
      <c r="D15" s="98"/>
      <c r="E15" s="198"/>
      <c r="F15" s="155"/>
    </row>
    <row r="16" spans="1:14" x14ac:dyDescent="0.35">
      <c r="A16" s="50"/>
      <c r="B16" s="151" t="s">
        <v>201</v>
      </c>
      <c r="C16" s="97"/>
      <c r="D16" s="98"/>
      <c r="E16" s="198"/>
      <c r="F16" s="155"/>
    </row>
    <row r="17" spans="1:6" x14ac:dyDescent="0.35">
      <c r="A17" s="74"/>
      <c r="B17" s="150" t="s">
        <v>200</v>
      </c>
      <c r="C17" s="104"/>
      <c r="D17" s="106"/>
      <c r="E17" s="213"/>
      <c r="F17" s="219"/>
    </row>
    <row r="18" spans="1:6" x14ac:dyDescent="0.35">
      <c r="A18" s="4"/>
      <c r="B18" s="153" t="s">
        <v>199</v>
      </c>
      <c r="C18" s="97"/>
      <c r="D18" s="98"/>
      <c r="E18" s="198"/>
      <c r="F18" s="155"/>
    </row>
    <row r="19" spans="1:6" x14ac:dyDescent="0.35">
      <c r="A19" s="50"/>
      <c r="B19" s="153" t="s">
        <v>198</v>
      </c>
      <c r="C19" s="97"/>
      <c r="D19" s="98"/>
      <c r="E19" s="198"/>
      <c r="F19" s="155"/>
    </row>
    <row r="20" spans="1:6" x14ac:dyDescent="0.35">
      <c r="A20" s="176" t="s">
        <v>73</v>
      </c>
      <c r="B20" s="150" t="s">
        <v>197</v>
      </c>
      <c r="C20" s="104"/>
      <c r="D20" s="106"/>
      <c r="E20" s="213"/>
      <c r="F20" s="219"/>
    </row>
    <row r="21" spans="1:6" x14ac:dyDescent="0.35">
      <c r="A21" s="50"/>
      <c r="B21" s="151" t="s">
        <v>196</v>
      </c>
      <c r="C21" s="97"/>
      <c r="D21" s="98"/>
      <c r="E21" s="198"/>
      <c r="F21" s="155"/>
    </row>
    <row r="22" spans="1:6" x14ac:dyDescent="0.35">
      <c r="A22" s="50"/>
      <c r="B22" s="151" t="s">
        <v>195</v>
      </c>
      <c r="C22" s="97"/>
      <c r="D22" s="98"/>
      <c r="E22" s="198"/>
      <c r="F22" s="155"/>
    </row>
    <row r="23" spans="1:6" x14ac:dyDescent="0.35">
      <c r="A23" s="178"/>
      <c r="B23" s="179" t="s">
        <v>194</v>
      </c>
      <c r="C23" s="115"/>
      <c r="D23" s="272"/>
      <c r="E23" s="266"/>
      <c r="F23" s="271"/>
    </row>
    <row r="24" spans="1:6" ht="27" x14ac:dyDescent="0.35">
      <c r="A24" s="50"/>
      <c r="B24" s="48" t="s">
        <v>193</v>
      </c>
      <c r="C24" s="97"/>
      <c r="D24" s="98"/>
      <c r="E24" s="198"/>
      <c r="F24" s="155"/>
    </row>
    <row r="25" spans="1:6" x14ac:dyDescent="0.35">
      <c r="A25" s="50"/>
      <c r="B25" s="270" t="s">
        <v>751</v>
      </c>
      <c r="C25" s="97"/>
      <c r="D25" s="98"/>
      <c r="E25" s="198"/>
      <c r="F25" s="155"/>
    </row>
    <row r="26" spans="1:6" x14ac:dyDescent="0.35">
      <c r="A26" s="176" t="s">
        <v>72</v>
      </c>
      <c r="B26" s="150" t="s">
        <v>192</v>
      </c>
      <c r="C26" s="104"/>
      <c r="D26" s="106"/>
      <c r="E26" s="213"/>
      <c r="F26" s="219"/>
    </row>
    <row r="27" spans="1:6" x14ac:dyDescent="0.35">
      <c r="A27" s="83"/>
      <c r="B27" s="153" t="s">
        <v>191</v>
      </c>
      <c r="C27" s="97"/>
      <c r="D27" s="98"/>
      <c r="E27" s="198"/>
      <c r="F27" s="155"/>
    </row>
    <row r="28" spans="1:6" x14ac:dyDescent="0.35">
      <c r="A28" s="176"/>
      <c r="B28" s="150" t="s">
        <v>190</v>
      </c>
      <c r="C28" s="104"/>
      <c r="D28" s="106"/>
      <c r="E28" s="213"/>
      <c r="F28" s="219"/>
    </row>
    <row r="29" spans="1:6" x14ac:dyDescent="0.35">
      <c r="A29" s="50"/>
      <c r="B29" s="128" t="s">
        <v>189</v>
      </c>
      <c r="C29" s="97"/>
      <c r="D29" s="98"/>
      <c r="E29" s="198"/>
      <c r="F29" s="155"/>
    </row>
    <row r="30" spans="1:6" x14ac:dyDescent="0.35">
      <c r="A30" s="50"/>
      <c r="B30" s="144" t="s">
        <v>188</v>
      </c>
      <c r="C30" s="97"/>
      <c r="D30" s="98"/>
      <c r="E30" s="198"/>
      <c r="F30" s="155"/>
    </row>
    <row r="31" spans="1:6" x14ac:dyDescent="0.35">
      <c r="A31" s="50"/>
      <c r="B31" s="144" t="s">
        <v>187</v>
      </c>
      <c r="C31" s="97"/>
      <c r="D31" s="98"/>
      <c r="E31" s="198"/>
      <c r="F31" s="155"/>
    </row>
    <row r="32" spans="1:6" x14ac:dyDescent="0.35">
      <c r="A32" s="50"/>
      <c r="B32" s="144" t="s">
        <v>186</v>
      </c>
      <c r="C32" s="97"/>
      <c r="D32" s="98"/>
      <c r="E32" s="198"/>
      <c r="F32" s="155"/>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FBAB-C93F-46DB-88FC-D90E2E7DEC1E}">
  <sheetPr codeName="Sheet32"/>
  <dimension ref="A1:N84"/>
  <sheetViews>
    <sheetView showGridLines="0" view="pageBreakPreview" zoomScale="55" zoomScaleNormal="110" zoomScaleSheetLayoutView="55" workbookViewId="0">
      <selection sqref="A1:F1"/>
    </sheetView>
  </sheetViews>
  <sheetFormatPr baseColWidth="10" defaultColWidth="9.33203125" defaultRowHeight="13.5" x14ac:dyDescent="0.35"/>
  <cols>
    <col min="1" max="1" width="5.6640625" style="18" customWidth="1"/>
    <col min="2" max="2" width="81.6640625" style="14" customWidth="1"/>
    <col min="3" max="5" width="5.6640625" style="14" customWidth="1"/>
    <col min="6" max="6" width="15.77734375" style="14" customWidth="1"/>
    <col min="7" max="16384" width="9.33203125" style="14"/>
  </cols>
  <sheetData>
    <row r="1" spans="1:14" s="13" customFormat="1" ht="24" customHeight="1" x14ac:dyDescent="0.35">
      <c r="A1" s="308" t="s">
        <v>618</v>
      </c>
      <c r="B1" s="308"/>
      <c r="C1" s="308"/>
      <c r="D1" s="308"/>
      <c r="E1" s="308"/>
      <c r="F1" s="308"/>
    </row>
    <row r="2" spans="1:14" s="13" customFormat="1" ht="45.65" customHeight="1" x14ac:dyDescent="0.35">
      <c r="A2" s="319" t="s">
        <v>722</v>
      </c>
      <c r="B2" s="320"/>
      <c r="C2" s="320"/>
      <c r="D2" s="320"/>
      <c r="E2" s="320"/>
      <c r="F2" s="321"/>
    </row>
    <row r="3" spans="1:14" s="5" customFormat="1" x14ac:dyDescent="0.35">
      <c r="A3" s="50" t="s">
        <v>298</v>
      </c>
      <c r="B3" s="155" t="s">
        <v>169</v>
      </c>
      <c r="C3" s="97" t="s">
        <v>295</v>
      </c>
      <c r="D3" s="98" t="s">
        <v>571</v>
      </c>
      <c r="E3" s="96" t="s">
        <v>572</v>
      </c>
      <c r="F3" s="203" t="s">
        <v>725</v>
      </c>
    </row>
    <row r="4" spans="1:14" s="15" customFormat="1" x14ac:dyDescent="0.35">
      <c r="A4" s="78" t="s">
        <v>79</v>
      </c>
      <c r="B4" s="180" t="s">
        <v>272</v>
      </c>
      <c r="C4" s="108"/>
      <c r="D4" s="109"/>
      <c r="E4" s="246"/>
      <c r="F4" s="265"/>
    </row>
    <row r="5" spans="1:14" s="15" customFormat="1" x14ac:dyDescent="0.35">
      <c r="A5" s="50" t="s">
        <v>74</v>
      </c>
      <c r="B5" s="151" t="s">
        <v>271</v>
      </c>
      <c r="C5" s="97"/>
      <c r="D5" s="98"/>
      <c r="E5" s="230"/>
      <c r="F5" s="155"/>
    </row>
    <row r="6" spans="1:14" s="15" customFormat="1" x14ac:dyDescent="0.35">
      <c r="A6" s="74" t="s">
        <v>66</v>
      </c>
      <c r="B6" s="150" t="s">
        <v>270</v>
      </c>
      <c r="C6" s="104"/>
      <c r="D6" s="106"/>
      <c r="E6" s="232"/>
      <c r="F6" s="219"/>
    </row>
    <row r="7" spans="1:14" s="15" customFormat="1" x14ac:dyDescent="0.35">
      <c r="A7" s="4"/>
      <c r="B7" s="153" t="s">
        <v>269</v>
      </c>
      <c r="C7" s="97"/>
      <c r="D7" s="98"/>
      <c r="E7" s="230"/>
      <c r="F7" s="155"/>
      <c r="N7" s="6"/>
    </row>
    <row r="8" spans="1:14" s="17" customFormat="1" x14ac:dyDescent="0.35">
      <c r="A8" s="181" t="s">
        <v>69</v>
      </c>
      <c r="B8" s="182" t="s">
        <v>268</v>
      </c>
      <c r="C8" s="114"/>
      <c r="D8" s="112"/>
      <c r="E8" s="269"/>
      <c r="F8" s="268"/>
    </row>
    <row r="9" spans="1:14" s="17" customFormat="1" x14ac:dyDescent="0.35">
      <c r="A9" s="50"/>
      <c r="B9" s="30" t="s">
        <v>249</v>
      </c>
      <c r="C9" s="277"/>
      <c r="D9" s="113"/>
      <c r="E9" s="230"/>
      <c r="F9" s="155"/>
    </row>
    <row r="10" spans="1:14" s="17" customFormat="1" x14ac:dyDescent="0.35">
      <c r="A10" s="50"/>
      <c r="B10" s="30" t="s">
        <v>383</v>
      </c>
      <c r="C10" s="97"/>
      <c r="D10" s="98"/>
      <c r="E10" s="230"/>
      <c r="F10" s="155"/>
    </row>
    <row r="11" spans="1:14" s="17" customFormat="1" x14ac:dyDescent="0.35">
      <c r="A11" s="50"/>
      <c r="B11" s="30" t="s">
        <v>267</v>
      </c>
      <c r="C11" s="97"/>
      <c r="D11" s="98"/>
      <c r="E11" s="230"/>
      <c r="F11" s="155"/>
    </row>
    <row r="12" spans="1:14" s="17" customFormat="1" x14ac:dyDescent="0.35">
      <c r="A12" s="50"/>
      <c r="B12" s="30" t="s">
        <v>251</v>
      </c>
      <c r="C12" s="97"/>
      <c r="D12" s="98"/>
      <c r="E12" s="230"/>
      <c r="F12" s="155"/>
    </row>
    <row r="13" spans="1:14" s="17" customFormat="1" x14ac:dyDescent="0.35">
      <c r="A13" s="181" t="s">
        <v>65</v>
      </c>
      <c r="B13" s="182" t="s">
        <v>250</v>
      </c>
      <c r="C13" s="114"/>
      <c r="D13" s="112"/>
      <c r="E13" s="269"/>
      <c r="F13" s="268"/>
    </row>
    <row r="14" spans="1:14" s="17" customFormat="1" x14ac:dyDescent="0.35">
      <c r="A14" s="50"/>
      <c r="B14" s="30" t="s">
        <v>249</v>
      </c>
      <c r="C14" s="97"/>
      <c r="D14" s="98"/>
      <c r="E14" s="230"/>
      <c r="F14" s="155"/>
      <c r="H14" s="6"/>
      <c r="I14" s="6"/>
      <c r="J14" s="6"/>
      <c r="K14" s="6"/>
      <c r="L14" s="6"/>
      <c r="M14" s="6"/>
    </row>
    <row r="15" spans="1:14" s="17" customFormat="1" x14ac:dyDescent="0.35">
      <c r="A15" s="50"/>
      <c r="B15" s="30" t="s">
        <v>266</v>
      </c>
      <c r="C15" s="97"/>
      <c r="D15" s="98"/>
      <c r="E15" s="230"/>
      <c r="F15" s="155"/>
      <c r="H15" s="6"/>
      <c r="I15" s="6"/>
      <c r="J15" s="6"/>
      <c r="K15" s="6"/>
      <c r="L15" s="6"/>
      <c r="M15" s="6"/>
    </row>
    <row r="16" spans="1:14" s="17" customFormat="1" x14ac:dyDescent="0.35">
      <c r="A16" s="50"/>
      <c r="B16" s="30" t="s">
        <v>247</v>
      </c>
      <c r="C16" s="97"/>
      <c r="D16" s="98"/>
      <c r="E16" s="230"/>
      <c r="F16" s="155"/>
      <c r="H16" s="6"/>
      <c r="I16" s="6"/>
      <c r="J16" s="6"/>
      <c r="K16" s="6"/>
      <c r="L16" s="6"/>
      <c r="M16" s="6"/>
    </row>
    <row r="17" spans="1:13" s="17" customFormat="1" x14ac:dyDescent="0.35">
      <c r="A17" s="50"/>
      <c r="B17" s="30" t="s">
        <v>265</v>
      </c>
      <c r="C17" s="97"/>
      <c r="D17" s="98"/>
      <c r="E17" s="230"/>
      <c r="F17" s="155"/>
      <c r="H17" s="6"/>
      <c r="I17" s="6"/>
      <c r="J17" s="6"/>
      <c r="K17" s="6"/>
      <c r="L17" s="6"/>
      <c r="M17" s="6"/>
    </row>
    <row r="18" spans="1:13" s="17" customFormat="1" x14ac:dyDescent="0.35">
      <c r="A18" s="50"/>
      <c r="B18" s="30" t="s">
        <v>240</v>
      </c>
      <c r="C18" s="97"/>
      <c r="D18" s="98"/>
      <c r="E18" s="230"/>
      <c r="F18" s="155"/>
      <c r="H18" s="6"/>
      <c r="I18" s="6"/>
      <c r="J18" s="6"/>
      <c r="K18" s="6"/>
      <c r="L18" s="6"/>
      <c r="M18" s="6"/>
    </row>
    <row r="19" spans="1:13" s="15" customFormat="1" x14ac:dyDescent="0.35">
      <c r="A19" s="181" t="s">
        <v>67</v>
      </c>
      <c r="B19" s="183" t="s">
        <v>239</v>
      </c>
      <c r="C19" s="114"/>
      <c r="D19" s="112"/>
      <c r="E19" s="269"/>
      <c r="F19" s="268"/>
      <c r="H19" s="6"/>
      <c r="I19" s="6"/>
      <c r="J19" s="6"/>
      <c r="K19" s="6"/>
      <c r="L19" s="6"/>
      <c r="M19" s="6"/>
    </row>
    <row r="20" spans="1:13" s="15" customFormat="1" x14ac:dyDescent="0.35">
      <c r="A20" s="50"/>
      <c r="B20" s="30" t="s">
        <v>264</v>
      </c>
      <c r="C20" s="97"/>
      <c r="D20" s="98"/>
      <c r="E20" s="230"/>
      <c r="F20" s="155"/>
      <c r="H20" s="6"/>
      <c r="I20" s="6"/>
      <c r="J20" s="6"/>
      <c r="K20" s="6"/>
      <c r="L20" s="6"/>
      <c r="M20" s="6"/>
    </row>
    <row r="21" spans="1:13" s="15" customFormat="1" x14ac:dyDescent="0.35">
      <c r="A21" s="50"/>
      <c r="B21" s="30" t="s">
        <v>263</v>
      </c>
      <c r="C21" s="97"/>
      <c r="D21" s="98"/>
      <c r="E21" s="230"/>
      <c r="F21" s="155"/>
      <c r="H21" s="6"/>
      <c r="I21" s="6"/>
      <c r="J21" s="6"/>
      <c r="K21" s="6"/>
      <c r="L21" s="6"/>
      <c r="M21" s="6"/>
    </row>
    <row r="22" spans="1:13" s="15" customFormat="1" x14ac:dyDescent="0.35">
      <c r="A22" s="50"/>
      <c r="B22" s="30" t="s">
        <v>262</v>
      </c>
      <c r="C22" s="97"/>
      <c r="D22" s="98"/>
      <c r="E22" s="230"/>
      <c r="F22" s="155"/>
      <c r="H22" s="6"/>
      <c r="I22" s="6"/>
      <c r="J22" s="6"/>
      <c r="K22" s="6"/>
      <c r="L22" s="6"/>
      <c r="M22" s="6"/>
    </row>
    <row r="23" spans="1:13" s="15" customFormat="1" x14ac:dyDescent="0.35">
      <c r="A23" s="74" t="s">
        <v>68</v>
      </c>
      <c r="B23" s="150" t="s">
        <v>261</v>
      </c>
      <c r="C23" s="104"/>
      <c r="D23" s="106"/>
      <c r="E23" s="232"/>
      <c r="F23" s="219"/>
      <c r="H23" s="6"/>
      <c r="I23" s="6"/>
      <c r="J23" s="6"/>
      <c r="K23" s="6"/>
      <c r="L23" s="6"/>
      <c r="M23" s="6"/>
    </row>
    <row r="24" spans="1:13" s="15" customFormat="1" x14ac:dyDescent="0.35">
      <c r="A24" s="50"/>
      <c r="B24" s="30" t="s">
        <v>260</v>
      </c>
      <c r="C24" s="97"/>
      <c r="D24" s="98"/>
      <c r="E24" s="230"/>
      <c r="F24" s="155"/>
      <c r="H24" s="6"/>
      <c r="I24" s="6"/>
      <c r="J24" s="6"/>
      <c r="K24" s="6"/>
      <c r="L24" s="6"/>
      <c r="M24" s="6"/>
    </row>
    <row r="25" spans="1:13" s="15" customFormat="1" x14ac:dyDescent="0.35">
      <c r="A25" s="50"/>
      <c r="B25" s="30" t="s">
        <v>392</v>
      </c>
      <c r="C25" s="97"/>
      <c r="D25" s="98"/>
      <c r="E25" s="230"/>
      <c r="F25" s="155"/>
      <c r="H25" s="6"/>
      <c r="I25" s="6"/>
      <c r="J25" s="6"/>
      <c r="K25" s="6"/>
      <c r="L25" s="6"/>
      <c r="M25" s="6"/>
    </row>
    <row r="26" spans="1:13" s="15" customFormat="1" ht="27" x14ac:dyDescent="0.35">
      <c r="A26" s="50"/>
      <c r="B26" s="31" t="s">
        <v>259</v>
      </c>
      <c r="C26" s="97"/>
      <c r="D26" s="98"/>
      <c r="E26" s="230"/>
      <c r="F26" s="155"/>
      <c r="H26" s="6"/>
      <c r="I26" s="6"/>
      <c r="J26" s="6"/>
      <c r="K26" s="6"/>
      <c r="L26" s="6"/>
      <c r="M26" s="6"/>
    </row>
    <row r="27" spans="1:13" s="15" customFormat="1" x14ac:dyDescent="0.35">
      <c r="A27" s="181"/>
      <c r="B27" s="182" t="s">
        <v>258</v>
      </c>
      <c r="C27" s="114"/>
      <c r="D27" s="112"/>
      <c r="E27" s="269"/>
      <c r="F27" s="268"/>
      <c r="H27" s="6"/>
      <c r="I27" s="6"/>
      <c r="J27" s="6"/>
      <c r="K27" s="6"/>
      <c r="L27" s="6"/>
      <c r="M27" s="6"/>
    </row>
    <row r="28" spans="1:13" s="17" customFormat="1" x14ac:dyDescent="0.35">
      <c r="A28" s="50" t="s">
        <v>69</v>
      </c>
      <c r="B28" s="30" t="s">
        <v>257</v>
      </c>
      <c r="C28" s="97"/>
      <c r="D28" s="98"/>
      <c r="E28" s="230"/>
      <c r="F28" s="155"/>
      <c r="H28" s="6"/>
      <c r="I28" s="6"/>
      <c r="J28" s="6"/>
      <c r="K28" s="6"/>
      <c r="L28" s="6"/>
      <c r="M28" s="6"/>
    </row>
    <row r="29" spans="1:13" s="17" customFormat="1" x14ac:dyDescent="0.35">
      <c r="A29" s="50"/>
      <c r="B29" s="30" t="s">
        <v>256</v>
      </c>
      <c r="C29" s="97"/>
      <c r="D29" s="98"/>
      <c r="E29" s="230"/>
      <c r="F29" s="155"/>
      <c r="H29" s="6"/>
      <c r="I29" s="6"/>
      <c r="J29" s="6"/>
      <c r="K29" s="6"/>
      <c r="L29" s="6"/>
      <c r="M29" s="6"/>
    </row>
    <row r="30" spans="1:13" s="17" customFormat="1" x14ac:dyDescent="0.35">
      <c r="A30" s="50" t="s">
        <v>65</v>
      </c>
      <c r="B30" s="30" t="s">
        <v>231</v>
      </c>
      <c r="C30" s="97"/>
      <c r="D30" s="98"/>
      <c r="E30" s="230"/>
      <c r="F30" s="155"/>
      <c r="H30" s="6"/>
      <c r="I30" s="6"/>
      <c r="J30" s="6"/>
      <c r="K30" s="6"/>
      <c r="L30" s="6"/>
      <c r="M30" s="6"/>
    </row>
    <row r="31" spans="1:13" s="17" customFormat="1" x14ac:dyDescent="0.35">
      <c r="A31" s="50"/>
      <c r="B31" s="30" t="s">
        <v>230</v>
      </c>
      <c r="C31" s="97"/>
      <c r="D31" s="98"/>
      <c r="E31" s="230"/>
      <c r="F31" s="155"/>
      <c r="H31" s="6"/>
      <c r="I31" s="6"/>
      <c r="J31" s="6"/>
      <c r="K31" s="6"/>
      <c r="L31" s="6"/>
      <c r="M31" s="6"/>
    </row>
    <row r="32" spans="1:13" s="15" customFormat="1" ht="27" x14ac:dyDescent="0.35">
      <c r="A32" s="50" t="s">
        <v>67</v>
      </c>
      <c r="B32" s="31" t="s">
        <v>255</v>
      </c>
      <c r="C32" s="97"/>
      <c r="D32" s="98"/>
      <c r="E32" s="230"/>
      <c r="F32" s="155"/>
      <c r="H32" s="6"/>
      <c r="I32" s="6"/>
      <c r="J32" s="6"/>
      <c r="K32" s="6"/>
      <c r="L32" s="6"/>
      <c r="M32" s="6"/>
    </row>
    <row r="33" spans="1:6" s="15" customFormat="1" x14ac:dyDescent="0.35">
      <c r="A33" s="45" t="s">
        <v>76</v>
      </c>
      <c r="B33" s="148" t="s">
        <v>254</v>
      </c>
      <c r="C33" s="99"/>
      <c r="D33" s="103"/>
      <c r="E33" s="53"/>
      <c r="F33" s="216"/>
    </row>
    <row r="34" spans="1:6" s="15" customFormat="1" x14ac:dyDescent="0.35">
      <c r="A34" s="50" t="s">
        <v>74</v>
      </c>
      <c r="B34" s="30" t="s">
        <v>393</v>
      </c>
      <c r="C34" s="97"/>
      <c r="D34" s="98"/>
      <c r="E34" s="230"/>
      <c r="F34" s="155"/>
    </row>
    <row r="35" spans="1:6" s="15" customFormat="1" x14ac:dyDescent="0.35">
      <c r="A35" s="50" t="s">
        <v>66</v>
      </c>
      <c r="B35" s="30" t="s">
        <v>752</v>
      </c>
      <c r="C35" s="97"/>
      <c r="D35" s="98"/>
      <c r="E35" s="230"/>
      <c r="F35" s="155"/>
    </row>
    <row r="36" spans="1:6" s="15" customFormat="1" x14ac:dyDescent="0.35">
      <c r="A36" s="74" t="s">
        <v>69</v>
      </c>
      <c r="B36" s="150" t="s">
        <v>253</v>
      </c>
      <c r="C36" s="104"/>
      <c r="D36" s="106"/>
      <c r="E36" s="213"/>
      <c r="F36" s="249"/>
    </row>
    <row r="37" spans="1:6" s="15" customFormat="1" x14ac:dyDescent="0.35">
      <c r="A37" s="50"/>
      <c r="B37" s="30" t="s">
        <v>383</v>
      </c>
      <c r="C37" s="97"/>
      <c r="D37" s="98"/>
      <c r="E37" s="230"/>
      <c r="F37" s="155"/>
    </row>
    <row r="38" spans="1:6" s="15" customFormat="1" x14ac:dyDescent="0.35">
      <c r="A38" s="50"/>
      <c r="B38" s="30" t="s">
        <v>252</v>
      </c>
      <c r="C38" s="97"/>
      <c r="D38" s="98"/>
      <c r="E38" s="230"/>
      <c r="F38" s="155"/>
    </row>
    <row r="39" spans="1:6" s="15" customFormat="1" x14ac:dyDescent="0.35">
      <c r="A39" s="50"/>
      <c r="B39" s="30" t="s">
        <v>251</v>
      </c>
      <c r="C39" s="97"/>
      <c r="D39" s="98"/>
      <c r="E39" s="230"/>
      <c r="F39" s="155"/>
    </row>
    <row r="40" spans="1:6" s="15" customFormat="1" x14ac:dyDescent="0.35">
      <c r="A40" s="74" t="s">
        <v>65</v>
      </c>
      <c r="B40" s="150" t="s">
        <v>250</v>
      </c>
      <c r="C40" s="104"/>
      <c r="D40" s="106"/>
      <c r="E40" s="213"/>
      <c r="F40" s="249"/>
    </row>
    <row r="41" spans="1:6" s="15" customFormat="1" x14ac:dyDescent="0.35">
      <c r="A41" s="50"/>
      <c r="B41" s="30" t="s">
        <v>249</v>
      </c>
      <c r="C41" s="97"/>
      <c r="D41" s="98"/>
      <c r="E41" s="230"/>
      <c r="F41" s="155"/>
    </row>
    <row r="42" spans="1:6" s="15" customFormat="1" x14ac:dyDescent="0.35">
      <c r="A42" s="50"/>
      <c r="B42" s="30" t="s">
        <v>248</v>
      </c>
      <c r="C42" s="97"/>
      <c r="D42" s="98"/>
      <c r="E42" s="230"/>
      <c r="F42" s="155"/>
    </row>
    <row r="43" spans="1:6" s="15" customFormat="1" x14ac:dyDescent="0.35">
      <c r="A43" s="50"/>
      <c r="B43" s="30" t="s">
        <v>247</v>
      </c>
      <c r="C43" s="97"/>
      <c r="D43" s="98"/>
      <c r="E43" s="230"/>
      <c r="F43" s="155"/>
    </row>
    <row r="44" spans="1:6" s="15" customFormat="1" x14ac:dyDescent="0.35">
      <c r="A44" s="50"/>
      <c r="B44" s="30" t="s">
        <v>246</v>
      </c>
      <c r="C44" s="97"/>
      <c r="D44" s="98"/>
      <c r="E44" s="230"/>
      <c r="F44" s="155"/>
    </row>
    <row r="45" spans="1:6" s="15" customFormat="1" x14ac:dyDescent="0.35">
      <c r="A45" s="50"/>
      <c r="B45" s="30" t="s">
        <v>240</v>
      </c>
      <c r="C45" s="97"/>
      <c r="D45" s="98"/>
      <c r="E45" s="230"/>
      <c r="F45" s="155"/>
    </row>
    <row r="46" spans="1:6" s="15" customFormat="1" x14ac:dyDescent="0.35">
      <c r="A46" s="181"/>
      <c r="B46" s="182" t="s">
        <v>245</v>
      </c>
      <c r="C46" s="278"/>
      <c r="D46" s="111"/>
      <c r="E46" s="274"/>
      <c r="F46" s="273"/>
    </row>
    <row r="47" spans="1:6" s="15" customFormat="1" x14ac:dyDescent="0.35">
      <c r="A47" s="50"/>
      <c r="B47" s="30" t="s">
        <v>244</v>
      </c>
      <c r="C47" s="97"/>
      <c r="D47" s="98"/>
      <c r="E47" s="230"/>
      <c r="F47" s="155"/>
    </row>
    <row r="48" spans="1:6" s="15" customFormat="1" x14ac:dyDescent="0.35">
      <c r="A48" s="50"/>
      <c r="B48" s="30" t="s">
        <v>243</v>
      </c>
      <c r="C48" s="97"/>
      <c r="D48" s="98"/>
      <c r="E48" s="230"/>
      <c r="F48" s="155"/>
    </row>
    <row r="49" spans="1:6" s="15" customFormat="1" x14ac:dyDescent="0.35">
      <c r="A49" s="50"/>
      <c r="B49" s="30" t="s">
        <v>242</v>
      </c>
      <c r="C49" s="97"/>
      <c r="D49" s="98"/>
      <c r="E49" s="230"/>
      <c r="F49" s="155"/>
    </row>
    <row r="50" spans="1:6" s="15" customFormat="1" x14ac:dyDescent="0.35">
      <c r="A50" s="50"/>
      <c r="B50" s="30" t="s">
        <v>241</v>
      </c>
      <c r="C50" s="97"/>
      <c r="D50" s="98"/>
      <c r="E50" s="230"/>
      <c r="F50" s="155"/>
    </row>
    <row r="51" spans="1:6" s="15" customFormat="1" x14ac:dyDescent="0.35">
      <c r="A51" s="50"/>
      <c r="B51" s="30" t="s">
        <v>240</v>
      </c>
      <c r="C51" s="97"/>
      <c r="D51" s="98"/>
      <c r="E51" s="230"/>
      <c r="F51" s="155"/>
    </row>
    <row r="52" spans="1:6" s="15" customFormat="1" x14ac:dyDescent="0.35">
      <c r="A52" s="74" t="s">
        <v>67</v>
      </c>
      <c r="B52" s="150" t="s">
        <v>239</v>
      </c>
      <c r="C52" s="104"/>
      <c r="D52" s="106"/>
      <c r="E52" s="53"/>
      <c r="F52" s="216"/>
    </row>
    <row r="53" spans="1:6" s="15" customFormat="1" x14ac:dyDescent="0.35">
      <c r="A53" s="50"/>
      <c r="B53" s="30" t="s">
        <v>238</v>
      </c>
      <c r="C53" s="97"/>
      <c r="D53" s="98"/>
      <c r="E53" s="230"/>
      <c r="F53" s="155"/>
    </row>
    <row r="54" spans="1:6" s="15" customFormat="1" x14ac:dyDescent="0.35">
      <c r="A54" s="50"/>
      <c r="B54" s="30"/>
      <c r="C54" s="97"/>
      <c r="D54" s="98"/>
      <c r="E54" s="230"/>
      <c r="F54" s="155"/>
    </row>
    <row r="55" spans="1:6" s="15" customFormat="1" x14ac:dyDescent="0.35">
      <c r="A55" s="68" t="s">
        <v>73</v>
      </c>
      <c r="B55" s="149" t="s">
        <v>237</v>
      </c>
      <c r="C55" s="99"/>
      <c r="D55" s="103"/>
      <c r="E55" s="53"/>
      <c r="F55" s="216"/>
    </row>
    <row r="56" spans="1:6" ht="27" x14ac:dyDescent="0.35">
      <c r="A56" s="50"/>
      <c r="B56" s="130" t="s">
        <v>236</v>
      </c>
      <c r="C56" s="97"/>
      <c r="D56" s="98"/>
      <c r="E56" s="230"/>
      <c r="F56" s="155"/>
    </row>
    <row r="57" spans="1:6" x14ac:dyDescent="0.35">
      <c r="A57" s="68" t="s">
        <v>72</v>
      </c>
      <c r="B57" s="149" t="s">
        <v>235</v>
      </c>
      <c r="C57" s="99"/>
      <c r="D57" s="103"/>
      <c r="E57" s="53"/>
      <c r="F57" s="216"/>
    </row>
    <row r="58" spans="1:6" x14ac:dyDescent="0.35">
      <c r="A58" s="74" t="s">
        <v>79</v>
      </c>
      <c r="B58" s="150" t="s">
        <v>234</v>
      </c>
      <c r="C58" s="104"/>
      <c r="D58" s="106"/>
      <c r="E58" s="213"/>
      <c r="F58" s="249"/>
    </row>
    <row r="59" spans="1:6" x14ac:dyDescent="0.35">
      <c r="A59" s="50"/>
      <c r="B59" s="30" t="s">
        <v>233</v>
      </c>
      <c r="C59" s="97"/>
      <c r="D59" s="98"/>
      <c r="E59" s="230"/>
      <c r="F59" s="155"/>
    </row>
    <row r="60" spans="1:6" x14ac:dyDescent="0.35">
      <c r="A60" s="74" t="s">
        <v>76</v>
      </c>
      <c r="B60" s="150" t="s">
        <v>394</v>
      </c>
      <c r="C60" s="104"/>
      <c r="D60" s="106"/>
      <c r="E60" s="213"/>
      <c r="F60" s="249"/>
    </row>
    <row r="61" spans="1:6" s="17" customFormat="1" x14ac:dyDescent="0.35">
      <c r="A61" s="50"/>
      <c r="B61" s="30" t="s">
        <v>232</v>
      </c>
      <c r="C61" s="97"/>
      <c r="D61" s="98"/>
      <c r="E61" s="230"/>
      <c r="F61" s="155"/>
    </row>
    <row r="62" spans="1:6" s="21" customFormat="1" x14ac:dyDescent="0.35">
      <c r="A62" s="50"/>
      <c r="B62" s="30" t="s">
        <v>231</v>
      </c>
      <c r="C62" s="97"/>
      <c r="D62" s="98"/>
      <c r="E62" s="230"/>
      <c r="F62" s="155"/>
    </row>
    <row r="63" spans="1:6" s="21" customFormat="1" x14ac:dyDescent="0.35">
      <c r="A63" s="50"/>
      <c r="B63" s="30" t="s">
        <v>230</v>
      </c>
      <c r="C63" s="97"/>
      <c r="D63" s="98"/>
      <c r="E63" s="230"/>
      <c r="F63" s="155"/>
    </row>
    <row r="64" spans="1:6" s="15" customFormat="1" x14ac:dyDescent="0.35">
      <c r="A64" s="68" t="s">
        <v>71</v>
      </c>
      <c r="B64" s="149" t="s">
        <v>229</v>
      </c>
      <c r="C64" s="99"/>
      <c r="D64" s="103"/>
      <c r="E64" s="53"/>
      <c r="F64" s="216"/>
    </row>
    <row r="65" spans="1:6" s="15" customFormat="1" x14ac:dyDescent="0.35">
      <c r="A65" s="50"/>
      <c r="B65" s="30" t="s">
        <v>228</v>
      </c>
      <c r="C65" s="97"/>
      <c r="D65" s="98"/>
      <c r="E65" s="230"/>
      <c r="F65" s="155"/>
    </row>
    <row r="66" spans="1:6" s="15" customFormat="1" x14ac:dyDescent="0.35">
      <c r="A66" s="74"/>
      <c r="B66" s="150" t="s">
        <v>227</v>
      </c>
      <c r="C66" s="104"/>
      <c r="D66" s="106"/>
      <c r="E66" s="213"/>
      <c r="F66" s="249"/>
    </row>
    <row r="67" spans="1:6" s="15" customFormat="1" ht="27" x14ac:dyDescent="0.35">
      <c r="A67" s="50"/>
      <c r="B67" s="31" t="s">
        <v>226</v>
      </c>
      <c r="C67" s="97"/>
      <c r="D67" s="98"/>
      <c r="E67" s="230"/>
      <c r="F67" s="155"/>
    </row>
    <row r="68" spans="1:6" s="15" customFormat="1" ht="27" x14ac:dyDescent="0.35">
      <c r="A68" s="50"/>
      <c r="B68" s="31" t="s">
        <v>225</v>
      </c>
      <c r="C68" s="97"/>
      <c r="D68" s="98"/>
      <c r="E68" s="230"/>
      <c r="F68" s="155"/>
    </row>
    <row r="69" spans="1:6" s="15" customFormat="1" x14ac:dyDescent="0.35">
      <c r="A69" s="181"/>
      <c r="B69" s="182" t="s">
        <v>224</v>
      </c>
      <c r="C69" s="114"/>
      <c r="D69" s="112"/>
      <c r="E69" s="274"/>
      <c r="F69" s="273"/>
    </row>
    <row r="70" spans="1:6" s="21" customFormat="1" x14ac:dyDescent="0.35">
      <c r="A70" s="50"/>
      <c r="B70" s="30" t="s">
        <v>223</v>
      </c>
      <c r="C70" s="97"/>
      <c r="D70" s="98"/>
      <c r="E70" s="230"/>
      <c r="F70" s="155"/>
    </row>
    <row r="71" spans="1:6" s="21" customFormat="1" x14ac:dyDescent="0.35">
      <c r="A71" s="50"/>
      <c r="B71" s="30" t="s">
        <v>222</v>
      </c>
      <c r="C71" s="97"/>
      <c r="D71" s="98"/>
      <c r="E71" s="230"/>
      <c r="F71" s="155"/>
    </row>
    <row r="72" spans="1:6" s="21" customFormat="1" x14ac:dyDescent="0.35">
      <c r="A72" s="50"/>
      <c r="B72" s="30" t="s">
        <v>221</v>
      </c>
      <c r="C72" s="97"/>
      <c r="D72" s="98"/>
      <c r="E72" s="230"/>
      <c r="F72" s="155"/>
    </row>
    <row r="73" spans="1:6" s="21" customFormat="1" x14ac:dyDescent="0.35">
      <c r="A73" s="50"/>
      <c r="B73" s="30" t="s">
        <v>220</v>
      </c>
      <c r="C73" s="97"/>
      <c r="D73" s="98"/>
      <c r="E73" s="230"/>
      <c r="F73" s="155"/>
    </row>
    <row r="74" spans="1:6" x14ac:dyDescent="0.35">
      <c r="A74" s="181"/>
      <c r="B74" s="182" t="s">
        <v>740</v>
      </c>
      <c r="C74" s="114"/>
      <c r="D74" s="112"/>
      <c r="E74" s="274"/>
      <c r="F74" s="273"/>
    </row>
    <row r="75" spans="1:6" x14ac:dyDescent="0.35">
      <c r="A75" s="184"/>
      <c r="B75" s="30" t="s">
        <v>219</v>
      </c>
      <c r="C75" s="97"/>
      <c r="D75" s="98"/>
      <c r="E75" s="230"/>
      <c r="F75" s="155"/>
    </row>
    <row r="76" spans="1:6" x14ac:dyDescent="0.35">
      <c r="A76" s="184"/>
      <c r="B76" s="30" t="s">
        <v>218</v>
      </c>
      <c r="C76" s="97"/>
      <c r="D76" s="98"/>
      <c r="E76" s="230"/>
      <c r="F76" s="155"/>
    </row>
    <row r="77" spans="1:6" x14ac:dyDescent="0.35">
      <c r="A77" s="184"/>
      <c r="B77" s="30" t="s">
        <v>217</v>
      </c>
      <c r="C77" s="97"/>
      <c r="D77" s="98"/>
      <c r="E77" s="230"/>
      <c r="F77" s="155"/>
    </row>
    <row r="78" spans="1:6" x14ac:dyDescent="0.35">
      <c r="A78" s="184"/>
      <c r="B78" s="30" t="s">
        <v>216</v>
      </c>
      <c r="C78" s="97"/>
      <c r="D78" s="98"/>
      <c r="E78" s="230"/>
      <c r="F78" s="155"/>
    </row>
    <row r="79" spans="1:6" s="15" customFormat="1" x14ac:dyDescent="0.35">
      <c r="A79" s="181"/>
      <c r="B79" s="182" t="s">
        <v>215</v>
      </c>
      <c r="C79" s="114"/>
      <c r="D79" s="112"/>
      <c r="E79" s="274"/>
      <c r="F79" s="273"/>
    </row>
    <row r="80" spans="1:6" s="15" customFormat="1" x14ac:dyDescent="0.35">
      <c r="A80" s="50"/>
      <c r="B80" s="30" t="s">
        <v>214</v>
      </c>
      <c r="C80" s="97"/>
      <c r="D80" s="98"/>
      <c r="E80" s="230"/>
      <c r="F80" s="155"/>
    </row>
    <row r="81" spans="1:6" s="15" customFormat="1" x14ac:dyDescent="0.35">
      <c r="A81" s="50"/>
      <c r="B81" s="30" t="s">
        <v>213</v>
      </c>
      <c r="C81" s="97"/>
      <c r="D81" s="98"/>
      <c r="E81" s="230"/>
      <c r="F81" s="155"/>
    </row>
    <row r="82" spans="1:6" x14ac:dyDescent="0.35">
      <c r="A82" s="50"/>
      <c r="B82" s="30" t="s">
        <v>212</v>
      </c>
      <c r="C82" s="97"/>
      <c r="D82" s="98"/>
      <c r="E82" s="230"/>
      <c r="F82" s="155"/>
    </row>
    <row r="84" spans="1:6" x14ac:dyDescent="0.35">
      <c r="B84" s="20"/>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65639-7E6A-4A83-BB9A-75A74C7876BD}">
  <sheetPr codeName="Sheet33"/>
  <dimension ref="A1:N26"/>
  <sheetViews>
    <sheetView showGridLines="0" view="pageBreakPreview" zoomScale="70" zoomScaleNormal="110" zoomScaleSheetLayoutView="70" zoomScalePageLayoutView="70" workbookViewId="0">
      <selection activeCell="B7" sqref="B7"/>
    </sheetView>
  </sheetViews>
  <sheetFormatPr baseColWidth="10" defaultColWidth="9.33203125" defaultRowHeight="13.5" x14ac:dyDescent="0.35"/>
  <cols>
    <col min="1" max="1" width="5.6640625" style="18" customWidth="1"/>
    <col min="2" max="2" width="81.6640625" style="14" customWidth="1"/>
    <col min="3" max="5" width="5.6640625" style="14" customWidth="1"/>
    <col min="6" max="6" width="15.77734375" style="14" customWidth="1"/>
    <col min="7" max="16384" width="9.33203125" style="14"/>
  </cols>
  <sheetData>
    <row r="1" spans="1:14" s="13" customFormat="1" ht="24" customHeight="1" x14ac:dyDescent="0.35">
      <c r="A1" s="308" t="s">
        <v>615</v>
      </c>
      <c r="B1" s="308"/>
      <c r="C1" s="308"/>
      <c r="D1" s="308"/>
      <c r="E1" s="308"/>
      <c r="F1" s="308"/>
    </row>
    <row r="2" spans="1:14" s="13" customFormat="1" ht="44.5" customHeight="1" x14ac:dyDescent="0.35">
      <c r="A2" s="319" t="s">
        <v>723</v>
      </c>
      <c r="B2" s="320"/>
      <c r="C2" s="320"/>
      <c r="D2" s="320"/>
      <c r="E2" s="320"/>
      <c r="F2" s="321"/>
    </row>
    <row r="3" spans="1:14" s="5" customFormat="1" x14ac:dyDescent="0.35">
      <c r="A3" s="50" t="s">
        <v>298</v>
      </c>
      <c r="B3" s="155" t="s">
        <v>169</v>
      </c>
      <c r="C3" s="97" t="s">
        <v>295</v>
      </c>
      <c r="D3" s="98" t="s">
        <v>571</v>
      </c>
      <c r="E3" s="96" t="s">
        <v>572</v>
      </c>
      <c r="F3" s="203" t="s">
        <v>725</v>
      </c>
    </row>
    <row r="4" spans="1:14" ht="27" x14ac:dyDescent="0.35">
      <c r="A4" s="59"/>
      <c r="B4" s="276" t="s">
        <v>755</v>
      </c>
      <c r="C4" s="200"/>
      <c r="D4" s="201"/>
      <c r="E4" s="230"/>
      <c r="F4" s="155"/>
    </row>
    <row r="5" spans="1:14" s="15" customFormat="1" x14ac:dyDescent="0.35">
      <c r="A5" s="50"/>
      <c r="B5" s="153" t="s">
        <v>287</v>
      </c>
      <c r="C5" s="200"/>
      <c r="D5" s="201"/>
      <c r="E5" s="230"/>
      <c r="F5" s="155"/>
    </row>
    <row r="6" spans="1:14" s="15" customFormat="1" x14ac:dyDescent="0.35">
      <c r="A6" s="50"/>
      <c r="B6" s="153" t="s">
        <v>384</v>
      </c>
      <c r="C6" s="200"/>
      <c r="D6" s="201"/>
      <c r="E6" s="230"/>
      <c r="F6" s="155"/>
    </row>
    <row r="7" spans="1:14" s="15" customFormat="1" ht="40.5" x14ac:dyDescent="0.35">
      <c r="A7" s="50"/>
      <c r="B7" s="257" t="s">
        <v>753</v>
      </c>
      <c r="C7" s="200"/>
      <c r="D7" s="201"/>
      <c r="E7" s="230"/>
      <c r="F7" s="155"/>
      <c r="N7" s="6"/>
    </row>
    <row r="8" spans="1:14" s="17" customFormat="1" ht="27" x14ac:dyDescent="0.35">
      <c r="A8" s="45"/>
      <c r="B8" s="129" t="s">
        <v>286</v>
      </c>
      <c r="C8" s="99"/>
      <c r="D8" s="103"/>
      <c r="E8" s="53"/>
      <c r="F8" s="228"/>
      <c r="K8" s="16"/>
    </row>
    <row r="9" spans="1:14" s="17" customFormat="1" x14ac:dyDescent="0.35">
      <c r="A9" s="74" t="s">
        <v>79</v>
      </c>
      <c r="B9" s="150" t="s">
        <v>285</v>
      </c>
      <c r="C9" s="104"/>
      <c r="D9" s="106"/>
      <c r="E9" s="213"/>
      <c r="F9" s="219"/>
    </row>
    <row r="10" spans="1:14" s="17" customFormat="1" x14ac:dyDescent="0.35">
      <c r="A10" s="67" t="s">
        <v>79</v>
      </c>
      <c r="B10" s="153" t="s">
        <v>284</v>
      </c>
      <c r="C10" s="200"/>
      <c r="D10" s="201"/>
      <c r="E10" s="230"/>
      <c r="F10" s="155"/>
    </row>
    <row r="11" spans="1:14" s="17" customFormat="1" x14ac:dyDescent="0.35">
      <c r="A11" s="50"/>
      <c r="B11" s="153" t="s">
        <v>283</v>
      </c>
      <c r="C11" s="200"/>
      <c r="D11" s="201"/>
      <c r="E11" s="230"/>
      <c r="F11" s="155"/>
    </row>
    <row r="12" spans="1:14" s="17" customFormat="1" x14ac:dyDescent="0.35">
      <c r="A12" s="50"/>
      <c r="B12" s="153" t="s">
        <v>230</v>
      </c>
      <c r="C12" s="200"/>
      <c r="D12" s="201"/>
      <c r="E12" s="230"/>
      <c r="F12" s="155"/>
    </row>
    <row r="13" spans="1:14" s="17" customFormat="1" x14ac:dyDescent="0.35">
      <c r="A13" s="74" t="s">
        <v>76</v>
      </c>
      <c r="B13" s="150" t="s">
        <v>282</v>
      </c>
      <c r="C13" s="104"/>
      <c r="D13" s="106"/>
      <c r="E13" s="213"/>
      <c r="F13" s="219"/>
    </row>
    <row r="14" spans="1:14" s="17" customFormat="1" x14ac:dyDescent="0.35">
      <c r="A14" s="4"/>
      <c r="B14" s="153" t="s">
        <v>281</v>
      </c>
      <c r="C14" s="200"/>
      <c r="D14" s="201"/>
      <c r="E14" s="230"/>
      <c r="F14" s="155"/>
    </row>
    <row r="15" spans="1:14" s="17" customFormat="1" x14ac:dyDescent="0.35">
      <c r="A15" s="67"/>
      <c r="B15" s="153" t="s">
        <v>280</v>
      </c>
      <c r="C15" s="200"/>
      <c r="D15" s="201"/>
      <c r="E15" s="230"/>
      <c r="F15" s="155"/>
    </row>
    <row r="16" spans="1:14" s="17" customFormat="1" x14ac:dyDescent="0.35">
      <c r="A16" s="50"/>
      <c r="B16" s="153" t="s">
        <v>279</v>
      </c>
      <c r="C16" s="200"/>
      <c r="D16" s="201"/>
      <c r="E16" s="230"/>
      <c r="F16" s="155"/>
    </row>
    <row r="17" spans="1:6" s="17" customFormat="1" x14ac:dyDescent="0.35">
      <c r="A17" s="50"/>
      <c r="B17" s="153" t="s">
        <v>278</v>
      </c>
      <c r="C17" s="200"/>
      <c r="D17" s="201"/>
      <c r="E17" s="230"/>
      <c r="F17" s="155"/>
    </row>
    <row r="18" spans="1:6" s="15" customFormat="1" x14ac:dyDescent="0.35">
      <c r="A18" s="50"/>
      <c r="B18" s="153" t="s">
        <v>247</v>
      </c>
      <c r="C18" s="200"/>
      <c r="D18" s="201"/>
      <c r="E18" s="230"/>
      <c r="F18" s="155"/>
    </row>
    <row r="19" spans="1:6" s="15" customFormat="1" ht="27" x14ac:dyDescent="0.35">
      <c r="A19" s="50"/>
      <c r="B19" s="128" t="s">
        <v>277</v>
      </c>
      <c r="C19" s="200"/>
      <c r="D19" s="201"/>
      <c r="E19" s="230"/>
      <c r="F19" s="155"/>
    </row>
    <row r="20" spans="1:6" s="15" customFormat="1" x14ac:dyDescent="0.35">
      <c r="A20" s="74"/>
      <c r="B20" s="150" t="s">
        <v>276</v>
      </c>
      <c r="C20" s="104"/>
      <c r="D20" s="106"/>
      <c r="E20" s="213"/>
      <c r="F20" s="219"/>
    </row>
    <row r="21" spans="1:6" s="15" customFormat="1" x14ac:dyDescent="0.35">
      <c r="A21" s="50"/>
      <c r="B21" s="153" t="s">
        <v>275</v>
      </c>
      <c r="C21" s="200"/>
      <c r="D21" s="201"/>
      <c r="E21" s="230"/>
      <c r="F21" s="155"/>
    </row>
    <row r="22" spans="1:6" s="15" customFormat="1" x14ac:dyDescent="0.35">
      <c r="A22" s="50"/>
      <c r="B22" s="153" t="s">
        <v>274</v>
      </c>
      <c r="C22" s="200"/>
      <c r="D22" s="201"/>
      <c r="E22" s="230"/>
      <c r="F22" s="155"/>
    </row>
    <row r="23" spans="1:6" s="15" customFormat="1" x14ac:dyDescent="0.35">
      <c r="A23" s="50"/>
      <c r="B23" s="153" t="s">
        <v>385</v>
      </c>
      <c r="C23" s="200"/>
      <c r="D23" s="201"/>
      <c r="E23" s="230"/>
      <c r="F23" s="155"/>
    </row>
    <row r="24" spans="1:6" s="15" customFormat="1" x14ac:dyDescent="0.35">
      <c r="A24" s="74"/>
      <c r="B24" s="150" t="s">
        <v>273</v>
      </c>
      <c r="C24" s="104"/>
      <c r="D24" s="106"/>
      <c r="E24" s="213"/>
      <c r="F24" s="219"/>
    </row>
    <row r="25" spans="1:6" s="15" customFormat="1" ht="13.5" customHeight="1" x14ac:dyDescent="0.35">
      <c r="A25" s="50"/>
      <c r="B25" s="128" t="s">
        <v>754</v>
      </c>
      <c r="C25" s="200"/>
      <c r="D25" s="201"/>
      <c r="E25" s="230"/>
      <c r="F25" s="155"/>
    </row>
    <row r="26" spans="1:6" x14ac:dyDescent="0.35">
      <c r="B26" s="20"/>
      <c r="E26" s="275"/>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01AC-5230-49A4-A9F0-23BE1D994D3E}">
  <sheetPr codeName="Sheet34"/>
  <dimension ref="A1:N27"/>
  <sheetViews>
    <sheetView showGridLines="0" view="pageBreakPreview" zoomScale="85" zoomScaleNormal="110" zoomScaleSheetLayoutView="85" workbookViewId="0">
      <selection activeCell="L14" sqref="L14"/>
    </sheetView>
  </sheetViews>
  <sheetFormatPr baseColWidth="10" defaultColWidth="9.33203125" defaultRowHeight="13.5" x14ac:dyDescent="0.35"/>
  <cols>
    <col min="1" max="1" width="5.6640625" style="18" customWidth="1"/>
    <col min="2" max="2" width="81.6640625" style="14" customWidth="1"/>
    <col min="3" max="5" width="5.6640625" style="14" customWidth="1"/>
    <col min="6" max="6" width="15.77734375" style="14" customWidth="1"/>
    <col min="7" max="16384" width="9.33203125" style="14"/>
  </cols>
  <sheetData>
    <row r="1" spans="1:14" s="13" customFormat="1" ht="24" customHeight="1" x14ac:dyDescent="0.35">
      <c r="A1" s="308" t="s">
        <v>619</v>
      </c>
      <c r="B1" s="308"/>
      <c r="C1" s="308"/>
      <c r="D1" s="308"/>
      <c r="E1" s="308"/>
      <c r="F1" s="308"/>
    </row>
    <row r="2" spans="1:14" s="13" customFormat="1" ht="51" customHeight="1" x14ac:dyDescent="0.35">
      <c r="A2" s="319" t="s">
        <v>724</v>
      </c>
      <c r="B2" s="320"/>
      <c r="C2" s="320"/>
      <c r="D2" s="320"/>
      <c r="E2" s="320"/>
      <c r="F2" s="321"/>
    </row>
    <row r="3" spans="1:14" s="5" customFormat="1" x14ac:dyDescent="0.35">
      <c r="A3" s="50" t="s">
        <v>298</v>
      </c>
      <c r="B3" s="50" t="s">
        <v>169</v>
      </c>
      <c r="C3" s="97" t="s">
        <v>295</v>
      </c>
      <c r="D3" s="98" t="s">
        <v>571</v>
      </c>
      <c r="E3" s="96" t="s">
        <v>572</v>
      </c>
      <c r="F3" s="203" t="s">
        <v>725</v>
      </c>
    </row>
    <row r="4" spans="1:14" x14ac:dyDescent="0.35">
      <c r="A4" s="65" t="s">
        <v>77</v>
      </c>
      <c r="B4" s="180" t="s">
        <v>294</v>
      </c>
      <c r="C4" s="108"/>
      <c r="D4" s="109"/>
      <c r="E4" s="246"/>
      <c r="F4" s="245"/>
    </row>
    <row r="5" spans="1:14" s="15" customFormat="1" x14ac:dyDescent="0.35">
      <c r="A5" s="50"/>
      <c r="B5" s="151" t="s">
        <v>386</v>
      </c>
      <c r="C5" s="200"/>
      <c r="D5" s="201"/>
      <c r="E5" s="230"/>
      <c r="F5" s="155"/>
    </row>
    <row r="6" spans="1:14" s="15" customFormat="1" x14ac:dyDescent="0.35">
      <c r="A6" s="50"/>
      <c r="B6" s="151" t="s">
        <v>387</v>
      </c>
      <c r="C6" s="200"/>
      <c r="D6" s="201"/>
      <c r="E6" s="230"/>
      <c r="F6" s="155"/>
    </row>
    <row r="7" spans="1:14" s="15" customFormat="1" x14ac:dyDescent="0.35">
      <c r="A7" s="50"/>
      <c r="B7" s="151" t="s">
        <v>388</v>
      </c>
      <c r="C7" s="200"/>
      <c r="D7" s="201"/>
      <c r="E7" s="230"/>
      <c r="F7" s="155"/>
      <c r="N7" s="6"/>
    </row>
    <row r="8" spans="1:14" s="15" customFormat="1" x14ac:dyDescent="0.35">
      <c r="A8" s="74"/>
      <c r="B8" s="150" t="s">
        <v>293</v>
      </c>
      <c r="C8" s="104"/>
      <c r="D8" s="106"/>
      <c r="E8" s="213"/>
      <c r="F8" s="222"/>
      <c r="K8" s="16"/>
    </row>
    <row r="9" spans="1:14" s="15" customFormat="1" x14ac:dyDescent="0.35">
      <c r="A9" s="4"/>
      <c r="B9" s="153" t="s">
        <v>292</v>
      </c>
      <c r="C9" s="200"/>
      <c r="D9" s="201"/>
      <c r="E9" s="230"/>
      <c r="F9" s="239"/>
    </row>
    <row r="10" spans="1:14" s="15" customFormat="1" x14ac:dyDescent="0.35">
      <c r="A10" s="4"/>
      <c r="B10" s="153" t="s">
        <v>291</v>
      </c>
      <c r="C10" s="200"/>
      <c r="D10" s="201"/>
      <c r="E10" s="230"/>
      <c r="F10" s="239"/>
    </row>
    <row r="11" spans="1:14" s="15" customFormat="1" x14ac:dyDescent="0.35">
      <c r="A11" s="50"/>
      <c r="B11" s="153" t="s">
        <v>290</v>
      </c>
      <c r="C11" s="200"/>
      <c r="D11" s="201"/>
      <c r="E11" s="230"/>
      <c r="F11" s="155"/>
    </row>
    <row r="12" spans="1:14" s="15" customFormat="1" x14ac:dyDescent="0.35">
      <c r="A12" s="50"/>
      <c r="B12" s="153" t="s">
        <v>289</v>
      </c>
      <c r="C12" s="200"/>
      <c r="D12" s="201"/>
      <c r="E12" s="230"/>
      <c r="F12" s="155"/>
    </row>
    <row r="13" spans="1:14" s="17" customFormat="1" x14ac:dyDescent="0.35">
      <c r="A13" s="50"/>
      <c r="B13" s="153" t="s">
        <v>395</v>
      </c>
      <c r="C13" s="200"/>
      <c r="D13" s="201"/>
      <c r="E13" s="230"/>
      <c r="F13" s="155"/>
    </row>
    <row r="14" spans="1:14" s="17" customFormat="1" x14ac:dyDescent="0.35">
      <c r="A14" s="45"/>
      <c r="B14" s="149" t="s">
        <v>288</v>
      </c>
      <c r="C14" s="99"/>
      <c r="D14" s="103"/>
      <c r="E14" s="53"/>
      <c r="F14" s="238"/>
    </row>
    <row r="15" spans="1:14" s="17" customFormat="1" x14ac:dyDescent="0.35">
      <c r="A15" s="185" t="s">
        <v>72</v>
      </c>
      <c r="B15" s="267" t="s">
        <v>756</v>
      </c>
      <c r="C15" s="200"/>
      <c r="D15" s="201"/>
      <c r="E15" s="230"/>
      <c r="F15" s="155"/>
    </row>
    <row r="16" spans="1:14" s="17" customFormat="1" x14ac:dyDescent="0.35">
      <c r="A16" s="5"/>
      <c r="B16" s="6"/>
      <c r="C16" s="14"/>
      <c r="D16" s="14"/>
      <c r="E16" s="14"/>
      <c r="F16" s="14"/>
    </row>
    <row r="17" spans="1:6" s="17" customFormat="1" x14ac:dyDescent="0.35">
      <c r="A17" s="5"/>
      <c r="B17" s="6"/>
      <c r="C17" s="14"/>
      <c r="D17" s="14"/>
      <c r="E17" s="14"/>
      <c r="F17" s="14"/>
    </row>
    <row r="18" spans="1:6" s="17" customFormat="1" x14ac:dyDescent="0.35">
      <c r="A18" s="5"/>
      <c r="B18" s="6"/>
      <c r="C18" s="14"/>
      <c r="D18" s="14"/>
      <c r="E18" s="14"/>
      <c r="F18" s="14"/>
    </row>
    <row r="19" spans="1:6" s="17" customFormat="1" x14ac:dyDescent="0.35">
      <c r="A19" s="5"/>
      <c r="B19" s="6"/>
      <c r="C19" s="14"/>
      <c r="D19" s="14"/>
      <c r="E19" s="14"/>
      <c r="F19" s="14"/>
    </row>
    <row r="20" spans="1:6" s="15" customFormat="1" x14ac:dyDescent="0.35">
      <c r="A20" s="5"/>
      <c r="B20" s="6"/>
      <c r="C20" s="14"/>
      <c r="D20" s="14"/>
      <c r="E20" s="14"/>
      <c r="F20" s="14"/>
    </row>
    <row r="21" spans="1:6" s="15" customFormat="1" x14ac:dyDescent="0.35">
      <c r="A21" s="5"/>
      <c r="B21" s="6"/>
      <c r="C21" s="14"/>
      <c r="D21" s="14"/>
      <c r="E21" s="14"/>
      <c r="F21" s="14"/>
    </row>
    <row r="22" spans="1:6" s="15" customFormat="1" x14ac:dyDescent="0.35">
      <c r="A22" s="5"/>
      <c r="B22" s="6"/>
      <c r="C22" s="14"/>
      <c r="D22" s="14"/>
      <c r="E22" s="14"/>
      <c r="F22" s="14"/>
    </row>
    <row r="23" spans="1:6" s="15" customFormat="1" x14ac:dyDescent="0.35">
      <c r="A23" s="18"/>
      <c r="B23" s="14"/>
      <c r="C23" s="14"/>
      <c r="D23" s="14"/>
      <c r="E23" s="14"/>
      <c r="F23" s="14"/>
    </row>
    <row r="24" spans="1:6" s="15" customFormat="1" x14ac:dyDescent="0.35">
      <c r="A24" s="18"/>
      <c r="B24" s="14"/>
      <c r="C24" s="14"/>
      <c r="D24" s="14"/>
      <c r="E24" s="14"/>
      <c r="F24" s="14"/>
    </row>
    <row r="25" spans="1:6" s="15" customFormat="1" x14ac:dyDescent="0.35">
      <c r="A25" s="18"/>
      <c r="B25" s="14"/>
      <c r="C25" s="14"/>
      <c r="D25" s="14"/>
      <c r="E25" s="14"/>
      <c r="F25" s="14"/>
    </row>
    <row r="26" spans="1:6" s="15" customFormat="1" x14ac:dyDescent="0.35">
      <c r="A26" s="18"/>
      <c r="B26" s="14"/>
      <c r="C26" s="14"/>
      <c r="D26" s="14"/>
      <c r="E26" s="14"/>
      <c r="F26" s="14"/>
    </row>
    <row r="27" spans="1:6" s="15" customFormat="1" x14ac:dyDescent="0.35">
      <c r="A27" s="18"/>
      <c r="B27" s="14"/>
      <c r="C27" s="14"/>
      <c r="D27" s="14"/>
      <c r="E27" s="14"/>
      <c r="F27" s="14"/>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36</vt:i4>
      </vt:variant>
      <vt:variant>
        <vt:lpstr>Plages nommées</vt:lpstr>
      </vt:variant>
      <vt:variant>
        <vt:i4>32</vt:i4>
      </vt:variant>
    </vt:vector>
  </HeadingPairs>
  <TitlesOfParts>
    <vt:vector size="68" baseType="lpstr">
      <vt:lpstr>Data</vt:lpstr>
      <vt:lpstr>Page de garde</vt:lpstr>
      <vt:lpstr>Page 2</vt:lpstr>
      <vt:lpstr>Commentaires</vt:lpstr>
      <vt:lpstr>Art.2 Cheminements extérieurs</vt:lpstr>
      <vt:lpstr>Art.3. Plans inclinés</vt:lpstr>
      <vt:lpstr>Art.4. Stationnement automobile</vt:lpstr>
      <vt:lpstr>Art.5. Accès</vt:lpstr>
      <vt:lpstr>Art.6. L’accueil du public</vt:lpstr>
      <vt:lpstr>Art.7.Circulations int.horiz</vt:lpstr>
      <vt:lpstr>Art.8.Circulations int.vert.</vt:lpstr>
      <vt:lpstr>Art.9.Escaliers</vt:lpstr>
      <vt:lpstr>Art.10.Ascenseurs et app.élév.</vt:lpstr>
      <vt:lpstr>Art.11.Tapis roulants,...</vt:lpstr>
      <vt:lpstr>Art.12. Revêtements des sols, </vt:lpstr>
      <vt:lpstr>Art.13.Portes, portiques et sas</vt:lpstr>
      <vt:lpstr>Art.14.Espace manoeuvre porte</vt:lpstr>
      <vt:lpstr>Art.15.Locaux ouverts au public</vt:lpstr>
      <vt:lpstr>Art.16.Locaux WC</vt:lpstr>
      <vt:lpstr>Art.17.Sorties</vt:lpstr>
      <vt:lpstr>Art.18.Eclairage</vt:lpstr>
      <vt:lpstr>Art.19.Besoins d'espace libres</vt:lpstr>
      <vt:lpstr>Art.20.Information et Signal</vt:lpstr>
      <vt:lpstr>Art.21.Contrastes visuels</vt:lpstr>
      <vt:lpstr>Art.22.Syst.guidage tactile</vt:lpstr>
      <vt:lpstr>Art.23. Sécurité et évacuation</vt:lpstr>
      <vt:lpstr>Art.24.Etabliss.public assis</vt:lpstr>
      <vt:lpstr>Art.25.Salles polyvalentes</vt:lpstr>
      <vt:lpstr>Art.26.Etabl.héberg.ouverts pub</vt:lpstr>
      <vt:lpstr>Art.27.Douches et cabines</vt:lpstr>
      <vt:lpstr>Art.28. Accès bassin piscine</vt:lpstr>
      <vt:lpstr>Art.29.Caisses de paiement</vt:lpstr>
      <vt:lpstr>Art.30.Chemin.voie pub.</vt:lpstr>
      <vt:lpstr>Art.31.Passages et gués</vt:lpstr>
      <vt:lpstr>Art.32.Quais autobus tramways</vt:lpstr>
      <vt:lpstr>Art.33.Bandes de stationnement </vt:lpstr>
      <vt:lpstr>'Art.10.Ascenseurs et app.élév.'!Zone_d_impression</vt:lpstr>
      <vt:lpstr>'Art.11.Tapis roulants,...'!Zone_d_impression</vt:lpstr>
      <vt:lpstr>'Art.12. Revêtements des sols, '!Zone_d_impression</vt:lpstr>
      <vt:lpstr>'Art.13.Portes, portiques et sas'!Zone_d_impression</vt:lpstr>
      <vt:lpstr>'Art.15.Locaux ouverts au public'!Zone_d_impression</vt:lpstr>
      <vt:lpstr>'Art.16.Locaux WC'!Zone_d_impression</vt:lpstr>
      <vt:lpstr>Art.17.Sorties!Zone_d_impression</vt:lpstr>
      <vt:lpstr>Art.18.Eclairage!Zone_d_impression</vt:lpstr>
      <vt:lpstr>'Art.19.Besoins d''espace libres'!Zone_d_impression</vt:lpstr>
      <vt:lpstr>'Art.2 Cheminements extérieurs'!Zone_d_impression</vt:lpstr>
      <vt:lpstr>'Art.20.Information et Signal'!Zone_d_impression</vt:lpstr>
      <vt:lpstr>'Art.21.Contrastes visuels'!Zone_d_impression</vt:lpstr>
      <vt:lpstr>'Art.22.Syst.guidage tactile'!Zone_d_impression</vt:lpstr>
      <vt:lpstr>'Art.23. Sécurité et évacuation'!Zone_d_impression</vt:lpstr>
      <vt:lpstr>'Art.24.Etabliss.public assis'!Zone_d_impression</vt:lpstr>
      <vt:lpstr>'Art.25.Salles polyvalentes'!Zone_d_impression</vt:lpstr>
      <vt:lpstr>'Art.26.Etabl.héberg.ouverts pub'!Zone_d_impression</vt:lpstr>
      <vt:lpstr>'Art.27.Douches et cabines'!Zone_d_impression</vt:lpstr>
      <vt:lpstr>'Art.28. Accès bassin piscine'!Zone_d_impression</vt:lpstr>
      <vt:lpstr>'Art.29.Caisses de paiement'!Zone_d_impression</vt:lpstr>
      <vt:lpstr>'Art.3. Plans inclinés'!Zone_d_impression</vt:lpstr>
      <vt:lpstr>'Art.30.Chemin.voie pub.'!Zone_d_impression</vt:lpstr>
      <vt:lpstr>'Art.31.Passages et gués'!Zone_d_impression</vt:lpstr>
      <vt:lpstr>'Art.32.Quais autobus tramways'!Zone_d_impression</vt:lpstr>
      <vt:lpstr>'Art.33.Bandes de stationnement '!Zone_d_impression</vt:lpstr>
      <vt:lpstr>'Art.4. Stationnement automobile'!Zone_d_impression</vt:lpstr>
      <vt:lpstr>'Art.5. Accès'!Zone_d_impression</vt:lpstr>
      <vt:lpstr>'Art.6. L’accueil du public'!Zone_d_impression</vt:lpstr>
      <vt:lpstr>'Art.7.Circulations int.horiz'!Zone_d_impression</vt:lpstr>
      <vt:lpstr>'Art.8.Circulations int.vert.'!Zone_d_impression</vt:lpstr>
      <vt:lpstr>Art.9.Escaliers!Zone_d_impression</vt:lpstr>
      <vt:lpstr>'Page 2'!Zone_d_impression</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FM</dc:creator>
  <cp:lastModifiedBy>Laid Atek</cp:lastModifiedBy>
  <cp:lastPrinted>2026-10-25T13:21:38Z</cp:lastPrinted>
  <dcterms:created xsi:type="dcterms:W3CDTF">2019-05-14T07:12:50Z</dcterms:created>
  <dcterms:modified xsi:type="dcterms:W3CDTF">2026-10-25T14:07:59Z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05060550-8057-4a56-8b0c-4a7fc67919c5</vt:lpwstr>
  </property>
</Properties>
</file>